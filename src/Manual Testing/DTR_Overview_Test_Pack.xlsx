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COVER" state="visible" r:id="rId4"/>
    <sheet sheetId="2" name="AUTOMATION-SCOPE" state="visible" r:id="rId5"/>
    <sheet sheetId="3" name="COVERAGE-MATRIX" state="visible" r:id="rId6"/>
    <sheet sheetId="4" name="LISTS" state="hidden" r:id="rId7"/>
    <sheet sheetId="5" name="DEFECTS" state="visible" r:id="rId8"/>
    <sheet sheetId="6" name="TEST-CASES" state="visible" r:id="rId9"/>
    <sheet sheetId="7" name="SNAPSHOT" state="visible" r:id="rId10"/>
  </sheets>
  <calcPr calcId="171027"/>
</workbook>
</file>

<file path=xl/sharedStrings.xml><?xml version="1.0" encoding="utf-8"?>
<sst xmlns="http://schemas.openxmlformats.org/spreadsheetml/2006/main" count="2370" uniqueCount="1050">
  <si>
    <t>Indoore MDMS — DTR Overview Manual Test Pack</t>
  </si>
  <si>
    <t>Screen: Dashboard → DTR Overview (fleet)  |  URL: https://indore.bestinfra.app  |  Role: Super Admin</t>
  </si>
  <si>
    <t>Field</t>
  </si>
  <si>
    <t>Value</t>
  </si>
  <si>
    <t>Module</t>
  </si>
  <si>
    <t>Dashboard / DTR Overview</t>
  </si>
  <si>
    <t>Click-through rule</t>
  </si>
  <si>
    <t>Every KPI card, sparkline, trend text, donut segment, legend row, count pill, percentage, chart series, and bar MUST open related DTR records for that bucket.</t>
  </si>
  <si>
    <t>Download rule</t>
  </si>
  <si>
    <t>Download icons export a file and must NOT navigate to records.</t>
  </si>
  <si>
    <t>Zero-count rule</t>
  </si>
  <si>
    <t>Clicking a 0-count bucket (DTRs OFF, Active Alerts, Communicating=0) must show empty list — never the full unfiltered DTR list.</t>
  </si>
  <si>
    <t>Count rule</t>
  </si>
  <si>
    <t>List pagination total must equal the number shown on the widget at execution time (screenshot numbers are a baseline only).</t>
  </si>
  <si>
    <t>Total cases</t>
  </si>
  <si>
    <t>Baseline date</t>
  </si>
  <si>
    <t>07-Sep-2026 screenshots</t>
  </si>
  <si>
    <t>Status default</t>
  </si>
  <si>
    <t>Not Executed — 8 cases pre-filled from 07-Sep-2026 screenshot review</t>
  </si>
  <si>
    <t>Automation</t>
  </si>
  <si>
    <t>See AUTOMATION-SCOPE — API suite vs UI click. Column Auto Status on TEST-CASES.</t>
  </si>
  <si>
    <t>Defects</t>
  </si>
  <si>
    <t>Log product bugs ONLY on DEFECTS. On TEST-CASES put Defect ID only — do not write bug details in Comments.</t>
  </si>
  <si>
    <t>How to execute</t>
  </si>
  <si>
    <t>1. Login as Super Admin. Open Dashboard → DTR Overview. Keep period Daily unless the case says otherwise.</t>
  </si>
  <si>
    <t>2. For each case, click EXACTLY the target in column Click Target (card body, number, sparkline, donut slice, legend, count pill, bar, or download icon).</t>
  </si>
  <si>
    <t>3. On the destination list, check: filter/chip matches the click, pagination total equals the widget count, rows belong to that bucket.</t>
  </si>
  <si>
    <t>4. Use browser Back or in-app Back to return. Do not refresh unless the case says so.</t>
  </si>
  <si>
    <t>5. Set Status via dropdown: Pass / Fail / Blocked / Pass with Note / Not Executed.</t>
  </si>
  <si>
    <t>6. If live counts differ from SNAPSHOT, still Pass if the list total matches the live widget. Fail only on wrong filter, missing click, or count mismatch vs the widget.</t>
  </si>
  <si>
    <t>7. Automation: Auto Status is pre-filled. Automated (API) = Playwright already covers the data. Partial = API covers counts/list. Gap = not automated yet.</t>
  </si>
  <si>
    <t>8. Defects: log ONLY on DEFECTS sheet (summary, steps, expected, actual). On TEST-CASES enter the Defect ID (e.g. DEF-DTO-001). Fail without a Defect ID is incomplete.</t>
  </si>
  <si>
    <t>Widgets in scope (live names 07-Sep-2026)</t>
  </si>
  <si>
    <t>Widget</t>
  </si>
  <si>
    <t>Type</t>
  </si>
  <si>
    <t>Click destinations / live note</t>
  </si>
  <si>
    <t>Total DTRs</t>
  </si>
  <si>
    <t>KPI card</t>
  </si>
  <si>
    <t>All DTRs (baseline 1,201)</t>
  </si>
  <si>
    <t>DTRs ON</t>
  </si>
  <si>
    <t>ON only (baseline 1,066)</t>
  </si>
  <si>
    <t>DTRs OFF</t>
  </si>
  <si>
    <t>OFF only (baseline 0 — empty list, not full fleet)</t>
  </si>
  <si>
    <t>Active Alerts</t>
  </si>
  <si>
    <t>Alerts / DTR records (baseline 0)</t>
  </si>
  <si>
    <t>Power Status</t>
  </si>
  <si>
    <t>Bar chart + download</t>
  </si>
  <si>
    <t>ON/OFF or availability bars · last 12 days all 100%</t>
  </si>
  <si>
    <t>Communication Status</t>
  </si>
  <si>
    <t>Donut + legend + download</t>
  </si>
  <si>
    <t>Communicating / Non-Communicating / Total Meters (live all 0)</t>
  </si>
  <si>
    <t>Energy Consumption</t>
  </si>
  <si>
    <t>Line chart + legend + download</t>
  </si>
  <si>
    <t>kWh / kVAh / kVARh (live: axes only, no series)</t>
  </si>
  <si>
    <t>Percentage Loading</t>
  </si>
  <si>
    <t>Distribution (expected)</t>
  </si>
  <si>
    <t>Critical / High Load / Normal / Under Utilized — Data Unavailable</t>
  </si>
  <si>
    <t>Load Unbalance</t>
  </si>
  <si>
    <t>Donut + legend (expected)</t>
  </si>
  <si>
    <t>Severe / Moderate / Balanced — Data Unavailable</t>
  </si>
  <si>
    <t>Voltage Unbalance</t>
  </si>
  <si>
    <t>DTR Overview — Automation scope (API already in this repo vs still-manual UI)</t>
  </si>
  <si>
    <t>This framework automates HTTP APIs (Playwright). UI onclick / download / cursor stay Gap (UI) until a UI suite is added. Partial = API proves counts and filtered lists; tester still clicks the card. Live 07-Sep-2026: load/voltage/loading widgets say API unavailable even though specs exist.</t>
  </si>
  <si>
    <t>Counts from TEST-CASES column Auto Status (M)</t>
  </si>
  <si>
    <t>Metric</t>
  </si>
  <si>
    <t>Count</t>
  </si>
  <si>
    <t>Meaning</t>
  </si>
  <si>
    <t>Automated (API)</t>
  </si>
  <si>
    <t>Data already asserted in Playwright API/DB tests</t>
  </si>
  <si>
    <t>Partial</t>
  </si>
  <si>
    <t>API covers count/list; UI click still manual</t>
  </si>
  <si>
    <t>Gap (API)</t>
  </si>
  <si>
    <t>Add a Playwright API case (priority for this repo)</t>
  </si>
  <si>
    <t>Gap (UI)</t>
  </si>
  <si>
    <t>Needs UI automation — out of current API framework</t>
  </si>
  <si>
    <t>Total classified</t>
  </si>
  <si>
    <t>Must equal 87 test cases</t>
  </si>
  <si>
    <t>Widget → API map</t>
  </si>
  <si>
    <t>UI click</t>
  </si>
  <si>
    <t>Data API (counts)</t>
  </si>
  <si>
    <t>Drilldown API (related records)</t>
  </si>
  <si>
    <t>Spec</t>
  </si>
  <si>
    <t>Auto status</t>
  </si>
  <si>
    <t>Gap / next action</t>
  </si>
  <si>
    <t>Total DTRs / DTRs ON / DTRs OFF / Active Alerts</t>
  </si>
  <si>
    <t>Card / number / sparkline</t>
  </si>
  <si>
    <t>GET /indore/dashboard/dtr/summary</t>
  </si>
  <si>
    <t>GET /indore/dashboard/dtr/power-status-details?status=on|off (ON/OFF). Alerts list API not mapped.</t>
  </si>
  <si>
    <t>src/modules/DASHBOARD/tests/dtrsummary.spec.ts  |  npm run test:dashboard</t>
  </si>
  <si>
    <t>Add UI click. Confirm alerts drill-down API.</t>
  </si>
  <si>
    <t>ON/OFF bars + legend + download</t>
  </si>
  <si>
    <t>GET /indore/dashboard/dtr/power-status</t>
  </si>
  <si>
    <t>GET /indore/dashboard/dtr/power-status-details?status=</t>
  </si>
  <si>
    <t>src/modules/DASHBOARD/tests/dtrpowerstatus.spec.ts  |  src/modules/DASHBOARD/tests/dtrpowerstatusdetails.spec.ts</t>
  </si>
  <si>
    <t>UI click + download still manual. Live chart is % availability, not ON/OFF counts.</t>
  </si>
  <si>
    <t>Donut / legend / count pill / download</t>
  </si>
  <si>
    <t>GET /indore/dashboard/dtr/communication-status</t>
  </si>
  <si>
    <t>GET /indore/dashboard/dtr/communication-details?status=</t>
  </si>
  <si>
    <t>src/modules/DASHBOARD/tests/dtrcommunication.spec.ts  |  src/modules/DASHBOARD/tests/dtrcommunicationdetails.spec.ts</t>
  </si>
  <si>
    <t>API automated. Live UI 07-Sep-2026 shows Total Meters 0 (DEF-DTO-002).</t>
  </si>
  <si>
    <t>kWh / kVAh / kVARh legend + bars + download</t>
  </si>
  <si>
    <t>GET /indore/dashboard/dtr/consumption</t>
  </si>
  <si>
    <t>GET /indore/dashboard/dtr/consumption-details?kind=</t>
  </si>
  <si>
    <t>src/modules/DASHBOARD/tests/dtrconsumption.spec.ts  |  src/modules/DASHBOARD/tests/dtrconsumptiondetails.spec.ts</t>
  </si>
  <si>
    <t>API automated. Live UI plots no series (DEF-DTO-003).</t>
  </si>
  <si>
    <t>Severe / Moderate / Balanced</t>
  </si>
  <si>
    <t>GET /indore/dashboard/dtr/load-unbalance</t>
  </si>
  <si>
    <t>GET /indore/dashboard/dtr/load-unbalance-details?severity=</t>
  </si>
  <si>
    <t>src/modules/DASHBOARD/tests/dtrloadunbalance.spec.ts  |  src/modules/DASHBOARD/tests/dtrloadunbalancedetails.spec.ts</t>
  </si>
  <si>
    <t>API exists. Live UI Data Unavailable (DEF-DTO-001) — wire frontend or fix live call.</t>
  </si>
  <si>
    <t>GET /indore/dashboard/dtr/voltage-unbalance</t>
  </si>
  <si>
    <t>GET /indore/dashboard/dtr/voltage-unbalance-details?severity=</t>
  </si>
  <si>
    <t>src/modules/DASHBOARD/tests/dtrvoltageunbalance.spec.ts  |  src/modules/DASHBOARD/tests/dtrvoltageunbalancedetails.spec.ts</t>
  </si>
  <si>
    <t>API exists. Live UI Data Unavailable (DEF-DTO-001).</t>
  </si>
  <si>
    <t>Critical / High Load / Normal / Under Utilized</t>
  </si>
  <si>
    <t>No summary donut API</t>
  </si>
  <si>
    <t>GET /indore/dashboard/dtr/percentage-loading-details?band=</t>
  </si>
  <si>
    <t>src/modules/DASHBOARD/tests/dtrpercentageloadingdetails.spec.ts</t>
  </si>
  <si>
    <t>Gap (API) / Partial</t>
  </si>
  <si>
    <t>Details-by-band is automated. Need a distribution summary API + UI (DEF-DTO-001).</t>
  </si>
  <si>
    <t>Already automated — run these</t>
  </si>
  <si>
    <t>Coverage</t>
  </si>
  <si>
    <t>Endpoint</t>
  </si>
  <si>
    <t>Spec file</t>
  </si>
  <si>
    <t>Command</t>
  </si>
  <si>
    <t>Status</t>
  </si>
  <si>
    <t>DTR summary KPIs</t>
  </si>
  <si>
    <t>dtrsummary.spec.ts</t>
  </si>
  <si>
    <t>npm run test:dashboard</t>
  </si>
  <si>
    <t>Automated</t>
  </si>
  <si>
    <t>Power status trend</t>
  </si>
  <si>
    <t>dtrpowerstatus.spec.ts</t>
  </si>
  <si>
    <t>npx playwright test src/modules/DASHBOARD/tests/dtrpowerstatus.spec.ts</t>
  </si>
  <si>
    <t>Power status details (on/off)</t>
  </si>
  <si>
    <t>dtrpowerstatusdetails.spec.ts</t>
  </si>
  <si>
    <t>npx playwright test src/modules/DASHBOARD/tests/dtrpowerstatusdetails.spec.ts</t>
  </si>
  <si>
    <t>Communication trend</t>
  </si>
  <si>
    <t>dtrcommunication.spec.ts</t>
  </si>
  <si>
    <t>npx playwright test src/modules/DASHBOARD/tests/dtrcommunication.spec.ts</t>
  </si>
  <si>
    <t>Communication details</t>
  </si>
  <si>
    <t>dtrcommunicationdetails.spec.ts</t>
  </si>
  <si>
    <t>npx playwright test src/modules/DASHBOARD/tests/dtrcommunicationdetails.spec.ts</t>
  </si>
  <si>
    <t>Consumption trend</t>
  </si>
  <si>
    <t>dtrconsumption.spec.ts</t>
  </si>
  <si>
    <t>npx playwright test src/modules/DASHBOARD/tests/dtrconsumption.spec.ts</t>
  </si>
  <si>
    <t>Consumption details (kwh/kvah/kvarh)</t>
  </si>
  <si>
    <t>dtrconsumptiondetails.spec.ts</t>
  </si>
  <si>
    <t>npx playwright test src/modules/DASHBOARD/tests/dtrconsumptiondetails.spec.ts</t>
  </si>
  <si>
    <t>Load unbalance distribution + details</t>
  </si>
  <si>
    <t>GET /indore/dashboard/dtr/load-unbalance  |  GET /indore/dashboard/dtr/load-unbalance-details?severity=</t>
  </si>
  <si>
    <t>dtrloadunbalance.spec.ts / dtrloadunbalancedetails.spec.ts</t>
  </si>
  <si>
    <t>Automated (API) — UI empty on live 07-Sep-2026</t>
  </si>
  <si>
    <t>Voltage unbalance distribution + details</t>
  </si>
  <si>
    <t>GET /indore/dashboard/dtr/voltage-unbalance  |  GET /indore/dashboard/dtr/voltage-unbalance-details?severity=</t>
  </si>
  <si>
    <t>dtrvoltageunbalance.spec.ts / dtrvoltageunbalancedetails.spec.ts</t>
  </si>
  <si>
    <t>Percentage loading details (four bands)</t>
  </si>
  <si>
    <t>dtrpercentageloadingdetails.spec.ts</t>
  </si>
  <si>
    <t>npx playwright test src/modules/DASHBOARD/tests/dtrpercentageloadingdetails.spec.ts</t>
  </si>
  <si>
    <t>Automated (details only — no summary widget API)</t>
  </si>
  <si>
    <t>DB cross-check</t>
  </si>
  <si>
    <t>same APIs + SQL</t>
  </si>
  <si>
    <t>dashboard.db.spec.ts</t>
  </si>
  <si>
    <t>npm run test:dashboard:db</t>
  </si>
  <si>
    <t>Gaps to automate next (priority)</t>
  </si>
  <si>
    <t>Priority</t>
  </si>
  <si>
    <t>Layer</t>
  </si>
  <si>
    <t>What to add</t>
  </si>
  <si>
    <t>Where</t>
  </si>
  <si>
    <t>Manual cases</t>
  </si>
  <si>
    <t>P1</t>
  </si>
  <si>
    <t>UI / API wiring</t>
  </si>
  <si>
    <t>Live DTR Overview does not render load-unbalance, voltage-unbalance, percentage-loading breakdowns even though APIs exist</t>
  </si>
  <si>
    <t>src/modules/DASHBOARD/tests/dtrloadunbalance.spec.ts / src/modules/DASHBOARD/tests/dtrvoltageunbalance.spec.ts / src/modules/DASHBOARD/tests/dtrpercentageloadingdetails.spec.ts</t>
  </si>
  <si>
    <t>IND-DTO-0002, 0042–0066, DEF-DTO-001</t>
  </si>
  <si>
    <t>API / data</t>
  </si>
  <si>
    <t>Communication Status Total Meters = 0 vs Total DTRs 1,201 on live UI</t>
  </si>
  <si>
    <t>src/modules/DASHBOARD/tests/dtrcommunication.spec.ts</t>
  </si>
  <si>
    <t>IND-DTO-0023–0028, 0075, DEF-DTO-002</t>
  </si>
  <si>
    <t>Energy Consumption series empty on live UI for last 12 days</t>
  </si>
  <si>
    <t>src/modules/DASHBOARD/tests/dtrconsumption.spec.ts</t>
  </si>
  <si>
    <t>IND-DTO-0035–0040, DEF-DTO-003</t>
  </si>
  <si>
    <t>API</t>
  </si>
  <si>
    <t>Assert dtrsOn + dtrsOff = totalDtrs (or document unknown/not-monitorable bucket on UI)</t>
  </si>
  <si>
    <t>src/modules/DASHBOARD/tests/dtrsummary.spec.ts  |  npm run test:dashboard  |  src/modules/DASHBOARD/tests/dashboard.db.spec.ts  |  npm run test:dashboard:db</t>
  </si>
  <si>
    <t>IND-DTO-0074, DEF-DTO-004</t>
  </si>
  <si>
    <t>Percentage-loading summary/distribution endpoint (donut counts) — only details-by-band exists</t>
  </si>
  <si>
    <t>IND-DTO-0065, 0078</t>
  </si>
  <si>
    <t>P2</t>
  </si>
  <si>
    <t>Active Alerts related-records list API (summary count exists, drill API not mapped)</t>
  </si>
  <si>
    <t>IND-DTO-0020, 0021</t>
  </si>
  <si>
    <t>P3</t>
  </si>
  <si>
    <t>UI</t>
  </si>
  <si>
    <t>Playwright UI click-through: each KPI / legend / bar → filtered DTR list total</t>
  </si>
  <si>
    <t>Not in this repo (API-only framework)</t>
  </si>
  <si>
    <t>IND-DTO-0013–0066, 0086</t>
  </si>
  <si>
    <t>Download icons export file and do not navigate</t>
  </si>
  <si>
    <t>—</t>
  </si>
  <si>
    <t>IND-DTO-0029, 0034, 0041, 0050, 0059, 0066, 0082</t>
  </si>
  <si>
    <t>Click-target coverage matrix — Y = must navigate to related records  |  EXP = export only (must not navigate)  |  N/A = control not on this widget</t>
  </si>
  <si>
    <t>Execute every Y cell at least once. Zero-count Y cells must open an empty list. Data Unavailable widgets are still Y — Fail if the click target does not exist.</t>
  </si>
  <si>
    <t>Entire card / row</t>
  </si>
  <si>
    <t>Numeric value / count pill</t>
  </si>
  <si>
    <t>Sparkline / trend</t>
  </si>
  <si>
    <t>Donut segment / bar</t>
  </si>
  <si>
    <t>Legend / label</t>
  </si>
  <si>
    <t>Percentage</t>
  </si>
  <si>
    <t>Center total</t>
  </si>
  <si>
    <t>Download icon</t>
  </si>
  <si>
    <t>Zero-count path</t>
  </si>
  <si>
    <t>Y count</t>
  </si>
  <si>
    <t>Notes</t>
  </si>
  <si>
    <t>Y</t>
  </si>
  <si>
    <t>N/A</t>
  </si>
  <si>
    <t>All DTRs</t>
  </si>
  <si>
    <t>ON only</t>
  </si>
  <si>
    <t>Live 0 — empty list</t>
  </si>
  <si>
    <t>EXP</t>
  </si>
  <si>
    <t>% availability bars 07-Sep-2026</t>
  </si>
  <si>
    <t>Live Total Meters 0</t>
  </si>
  <si>
    <t>kWh / kVAh / kVARh — live empty plot</t>
  </si>
  <si>
    <t>Data Unavailable 07-Sep-2026</t>
  </si>
  <si>
    <t>Must-click destinations (unique filters)</t>
  </si>
  <si>
    <t>#</t>
  </si>
  <si>
    <t>Filter / bucket</t>
  </si>
  <si>
    <t>Baseline count (07-Sep-2026)</t>
  </si>
  <si>
    <t>1</t>
  </si>
  <si>
    <t>2</t>
  </si>
  <si>
    <t>ON</t>
  </si>
  <si>
    <t>3</t>
  </si>
  <si>
    <t>OFF</t>
  </si>
  <si>
    <t>4</t>
  </si>
  <si>
    <t>Alerts</t>
  </si>
  <si>
    <t>5</t>
  </si>
  <si>
    <t>Communicating</t>
  </si>
  <si>
    <t>6</t>
  </si>
  <si>
    <t>Non-Communicating</t>
  </si>
  <si>
    <t>7</t>
  </si>
  <si>
    <t>ON / 100% availability bar</t>
  </si>
  <si>
    <t>1,066 or bar bucket</t>
  </si>
  <si>
    <t>8</t>
  </si>
  <si>
    <t>kWh</t>
  </si>
  <si>
    <t>live list total</t>
  </si>
  <si>
    <t>9</t>
  </si>
  <si>
    <t>kVAh</t>
  </si>
  <si>
    <t>10</t>
  </si>
  <si>
    <t>kVARh</t>
  </si>
  <si>
    <t>11</t>
  </si>
  <si>
    <t>Severe</t>
  </si>
  <si>
    <t>Data Unavailable</t>
  </si>
  <si>
    <t>12</t>
  </si>
  <si>
    <t>Moderate</t>
  </si>
  <si>
    <t>13</t>
  </si>
  <si>
    <t>Balanced</t>
  </si>
  <si>
    <t>14</t>
  </si>
  <si>
    <t>15</t>
  </si>
  <si>
    <t>16</t>
  </si>
  <si>
    <t>17</t>
  </si>
  <si>
    <t>Critical &gt;=75%</t>
  </si>
  <si>
    <t>18</t>
  </si>
  <si>
    <t>High Load 25–74%</t>
  </si>
  <si>
    <t>19</t>
  </si>
  <si>
    <t>Normal 10–25%</t>
  </si>
  <si>
    <t>20</t>
  </si>
  <si>
    <t>Under Utilized &lt;10%</t>
  </si>
  <si>
    <t>Auto Status</t>
  </si>
  <si>
    <t>Automation Scope</t>
  </si>
  <si>
    <t>Defect Status</t>
  </si>
  <si>
    <t>Defect Severity</t>
  </si>
  <si>
    <t>Defect Priority</t>
  </si>
  <si>
    <t>Not Executed</t>
  </si>
  <si>
    <t>Critical</t>
  </si>
  <si>
    <t>Positive</t>
  </si>
  <si>
    <t>API automated</t>
  </si>
  <si>
    <t>New</t>
  </si>
  <si>
    <t>P0</t>
  </si>
  <si>
    <t>Pass</t>
  </si>
  <si>
    <t>High</t>
  </si>
  <si>
    <t>Negative</t>
  </si>
  <si>
    <t>API + UI click</t>
  </si>
  <si>
    <t>Open</t>
  </si>
  <si>
    <t>Fail</t>
  </si>
  <si>
    <t>Medium</t>
  </si>
  <si>
    <t>Edge</t>
  </si>
  <si>
    <t>API gap</t>
  </si>
  <si>
    <t>In Progress</t>
  </si>
  <si>
    <t>Blocked</t>
  </si>
  <si>
    <t>Low</t>
  </si>
  <si>
    <t>UI only</t>
  </si>
  <si>
    <t>Fixed</t>
  </si>
  <si>
    <t>Pass with Note</t>
  </si>
  <si>
    <t>Verified</t>
  </si>
  <si>
    <t>Closed</t>
  </si>
  <si>
    <t>Rejected</t>
  </si>
  <si>
    <t>Deferred</t>
  </si>
  <si>
    <t>Indoore MDMS — DTR Overview — Defect log</t>
  </si>
  <si>
    <t>SOURCE OF TRUTH: log every product defect HERE only. On TEST-CASES enter Defect ID (column R). Do not write bug details in TEST-CASES Comments.</t>
  </si>
  <si>
    <t>Open / New</t>
  </si>
  <si>
    <t>Fixed / Verified</t>
  </si>
  <si>
    <t>Total logged</t>
  </si>
  <si>
    <t>How: pick next blank DEF-DTO-xxx row → fill Summary / Steps / Expected / Actual / Severity / Status. Then put that ID on every failed TEST-CASES row. Related cases share one Defect ID.</t>
  </si>
  <si>
    <t>Defect ID</t>
  </si>
  <si>
    <t>Linked Test Case ID</t>
  </si>
  <si>
    <t>Widget / Feature</t>
  </si>
  <si>
    <t>Summary</t>
  </si>
  <si>
    <t>Steps to Reproduce</t>
  </si>
  <si>
    <t>Expected Result</t>
  </si>
  <si>
    <t>Actual Result</t>
  </si>
  <si>
    <t>Severity</t>
  </si>
  <si>
    <t>Environment</t>
  </si>
  <si>
    <t>Found By</t>
  </si>
  <si>
    <t>Found Date</t>
  </si>
  <si>
    <t>Evidence / Screenshot</t>
  </si>
  <si>
    <t>Comments</t>
  </si>
  <si>
    <t>DEF-DTO-001</t>
  </si>
  <si>
    <t>IND-DTO-0002, IND-DTO-0042–0050, IND-DTO-0051–0059, IND-DTO-0060–0066, IND-DTO-0076–0078, IND-DTO-0082, IND-DTO-0086</t>
  </si>
  <si>
    <t>Percentage Loading / Load Unbalance / Voltage Unbalance</t>
  </si>
  <si>
    <t>Three core DTR Overview widgets show Data Unavailable — breakdown not available from the API yet</t>
  </si>
  <si>
    <t xml:space="preserve">1. Login as Super Admin on https://indore.bestinfra.app
2. Open Dashboard → DTR Overview
3. Scroll to Percentage Loading, Load Unbalance, Voltage Unbalance</t>
  </si>
  <si>
    <t>Each widget shows a distribution chart, live counts, legend, and click-through to related DTR records for that band.</t>
  </si>
  <si>
    <t>07-Sep-2026: all three cards render the empty state icon + 'Data Unavailable'. Messages: 'Percentage Loading Breakdown Is Not Available From The API Yet.', 'Load Unbalance Breakdown Is Not Available From The API Yet.', 'Voltage Unbalance Breakdown Is Not Available From The API Yet.' No chart, legend, counts, or download icon. Backend APIs exist in this repo (load-unbalance, voltage-unbalance, percentage-loading-details) — UI is not wired or the live call fails.</t>
  </si>
  <si>
    <t>Live https://indore.bestinfra.app — Super Admin</t>
  </si>
  <si>
    <t>QA (screenshot review)</t>
  </si>
  <si>
    <t>DTR Overview screenshots 07-Sep-2026 (mid + bottom scroll)</t>
  </si>
  <si>
    <t/>
  </si>
  <si>
    <t>DEF-DTO-002</t>
  </si>
  <si>
    <t>IND-DTO-0002, IND-DTO-0023–0028, IND-DTO-0075, IND-DTO-0079, IND-DTO-0083</t>
  </si>
  <si>
    <t>Communication Status Total Meters is 0 while Total DTRs KPI is 1,201</t>
  </si>
  <si>
    <t xml:space="preserve">1. Open Dashboard → DTR Overview (Daily)
2. Read Total DTRs KPI
3. Read Communication Status donut center Total Meters, Communicating, Non-Communicating</t>
  </si>
  <si>
    <t>Communicating + Non-Communicating = Total Meters. Total Meters should match (or be a documented monitorable subset of) Total DTRs. Percentages add to ~100% when total &gt; 0.</t>
  </si>
  <si>
    <t>07-Sep-2026: Total DTRs = 1,201. Communication Status Total Meters = 0, Communicating = 0 (0.0%), Non-Communicating = 0 (0.0%). Donut is empty. Widget is not a useful click-through source.</t>
  </si>
  <si>
    <t>Communication Status widget screenshot 07-Sep-2026</t>
  </si>
  <si>
    <t>DEF-DTO-003</t>
  </si>
  <si>
    <t>IND-DTO-0035–0040, IND-DTO-0086</t>
  </si>
  <si>
    <t>Energy Consumption chart renders axes and legend but plots no kWh / kVAh / kVARh series</t>
  </si>
  <si>
    <t xml:space="preserve">1. Open Dashboard → DTR Overview (Daily)
2. Scroll to Energy Consumption
3. Observe chart for 27 Aug 2026 – 7 Sept 2026</t>
  </si>
  <si>
    <t>kWh, kVAh, and kVARh series plot for the selected period. Legend clicks open related DTR consumption records for that kind.</t>
  </si>
  <si>
    <t>07-Sep-2026: title, subtitle (last 12 days · 27 Aug – 7 Sept), legend (kWh / kVAh / kVARh), Y-axis 0–1k, X-axis dates, and download icon are present. No lines or bars are plotted. 07 Sept x-axis label can highlight on hover.</t>
  </si>
  <si>
    <t>Energy Consumption widget screenshot 07-Sep-2026</t>
  </si>
  <si>
    <t>DEF-DTO-004</t>
  </si>
  <si>
    <t>IND-DTO-0074, IND-DTO-0079, IND-DTO-0080</t>
  </si>
  <si>
    <t>KPI cards / Power Status</t>
  </si>
  <si>
    <t>DTRs ON + DTRs OFF does not equal Total DTRs (gap 135)</t>
  </si>
  <si>
    <t xml:space="preserve">1. Open Dashboard → DTR Overview (Daily)
2. Read Total DTRs, DTRs ON, DTRs OFF
3. Add ON + OFF and compare to Total</t>
  </si>
  <si>
    <t>DTRs ON + DTRs OFF = Total DTRs. If some DTRs are not monitorable / unknown power status, the gap must be labelled on the UI (not a silent 135 missing).</t>
  </si>
  <si>
    <t>07-Sep-2026: Total DTRs 1,201; DTRs ON 1,066; DTRs OFF 0. 1,066 + 0 = 1,066. Gap of 135. Power Status bars are all 100% availability for 12 days, which matches OFF = 0 but does not explain the 135 not in ON or OFF.</t>
  </si>
  <si>
    <t>DTR Overview KPI row screenshot 07-Sep-2026</t>
  </si>
  <si>
    <t>DEF-DTO-005</t>
  </si>
  <si>
    <t>DEF-DTO-006</t>
  </si>
  <si>
    <t>DEF-DTO-007</t>
  </si>
  <si>
    <t>DEF-DTO-008</t>
  </si>
  <si>
    <t>DEF-DTO-009</t>
  </si>
  <si>
    <t>DEF-DTO-010</t>
  </si>
  <si>
    <t>DEF-DTO-011</t>
  </si>
  <si>
    <t>DEF-DTO-012</t>
  </si>
  <si>
    <t>DEF-DTO-013</t>
  </si>
  <si>
    <t>DEF-DTO-014</t>
  </si>
  <si>
    <t>DEF-DTO-015</t>
  </si>
  <si>
    <t>DEF-DTO-016</t>
  </si>
  <si>
    <t>DEF-DTO-017</t>
  </si>
  <si>
    <t>DEF-DTO-018</t>
  </si>
  <si>
    <t>DEF-DTO-019</t>
  </si>
  <si>
    <t>DEF-DTO-020</t>
  </si>
  <si>
    <t>DEF-DTO-021</t>
  </si>
  <si>
    <t>DEF-DTO-022</t>
  </si>
  <si>
    <t>DEF-DTO-023</t>
  </si>
  <si>
    <t>DEF-DTO-024</t>
  </si>
  <si>
    <t>DEF-DTO-025</t>
  </si>
  <si>
    <t>DEF-DTO-026</t>
  </si>
  <si>
    <t>DEF-DTO-027</t>
  </si>
  <si>
    <t>DEF-DTO-028</t>
  </si>
  <si>
    <t>DEF-DTO-029</t>
  </si>
  <si>
    <t>DEF-DTO-030</t>
  </si>
  <si>
    <t>Indoore MDMS — DTR Overview — Manual Test Cases</t>
  </si>
  <si>
    <t>Click-through pack + automation scope  |  Defects: log on DEFECTS only, put Defect ID here</t>
  </si>
  <si>
    <t>Precondition: Super Admin on https://indore.bestinfra.app — DTR Overview Daily — related-records total must match the live widget count. Failures: log on DEFECTS, enter Defect ID here only.</t>
  </si>
  <si>
    <t>Test Case ID</t>
  </si>
  <si>
    <t>Feature</t>
  </si>
  <si>
    <t>Click Target</t>
  </si>
  <si>
    <t>Test Scenario</t>
  </si>
  <si>
    <t>Test Steps</t>
  </si>
  <si>
    <t>Test Data</t>
  </si>
  <si>
    <t>API Endpoint</t>
  </si>
  <si>
    <t>Spec / Command</t>
  </si>
  <si>
    <t>Tester</t>
  </si>
  <si>
    <t>Execution Date</t>
  </si>
  <si>
    <t>1. PAGE LOAD &amp; UI</t>
  </si>
  <si>
    <t>IND-DTO-0001</t>
  </si>
  <si>
    <t>Page Load</t>
  </si>
  <si>
    <t>Page</t>
  </si>
  <si>
    <t>DTR Overview page loads with title and breadcrumb</t>
  </si>
  <si>
    <t xml:space="preserve">1. Login as Super Admin on https://indore.bestinfra.app
2. Open Dashboard → DTR Overview
3. Confirm period is Daily unless the case changes it
4. Observe page header</t>
  </si>
  <si>
    <t>URL: Dashboard / DTR Overview</t>
  </si>
  <si>
    <t>Title 'DTR Overview' is visible. Breadcrumb shows Dashboard / DTR Overview. No blank page, spinner stuck, or console-blocking error.</t>
  </si>
  <si>
    <t>DTR Overview loaded. Title 'DTR Overview' and breadcrumb 'Dashboard / DTR Overview' are visible. Four KPI cards and Power Status chart rendered. No blank page or stuck spinner.</t>
  </si>
  <si>
    <t>Page title / breadcrumb — Playwright UI</t>
  </si>
  <si>
    <t>IND-DTO-0002</t>
  </si>
  <si>
    <t>Layout</t>
  </si>
  <si>
    <t>All widgets</t>
  </si>
  <si>
    <t>All DTR Overview widgets render with values</t>
  </si>
  <si>
    <t xml:space="preserve">1. Login as Super Admin on https://indore.bestinfra.app
2. Open Dashboard → DTR Overview
3. Confirm period is Daily unless the case changes it
4. Scroll the full page top to bottom</t>
  </si>
  <si>
    <t>Expected widgets: Total DTRs, DTRs ON, DTRs OFF, Active Alerts, Power Status, Communication Status, Energy Consumption, Percentage Loading, Load Unbalance, Voltage Unbalance. Screenshot baseline 07-Sep-2026 (use live count on screen if different)</t>
  </si>
  <si>
    <t>All ten widget families render with title and values (or a designed empty list). No overlapping cards or clipped titles. 'Data Unavailable / not available from the API yet' on a core widget is a Fail.</t>
  </si>
  <si>
    <t>KPI cards, Power Status, Communication Status, and Energy Consumption cards render. Percentage Loading, Load Unbalance, and Voltage Unbalance show 'Data Unavailable' / 'Breakdown Is Not Available From The API Yet' with no chart, legend, or values. Communication Status Total Meters is 0 while Total DTRs is 1,201. Energy Consumption has axes and legend but no series.</t>
  </si>
  <si>
    <t>GET /indore/dashboard/dtr/summary + GET /indore/dashboard/dtr/power-status + GET /indore/dashboard/dtr/communication-status + GET /indore/dashboard/dtr/consumption + GET /indore/dashboard/dtr/load-unbalance + GET /indore/dashboard/dtr/voltage-unbalance + GET /indore/dashboard/dtr/percentage-loading-details?band= prove widgets have APIs; layout/empty-state is UI</t>
  </si>
  <si>
    <t>src/modules/DASHBOARD/tests/dtrsummary.spec.ts  |  npm run test:dashboard  |  Live UI 07-Sep-2026: LOAD/VOLT/PLD show Data Unavailable</t>
  </si>
  <si>
    <t>DEF-DTO-001. Communication 0 vs 1,201 is DEF-DTO-002 (scored on 0075).</t>
  </si>
  <si>
    <t>IND-DTO-0003</t>
  </si>
  <si>
    <t>Period control</t>
  </si>
  <si>
    <t>Daily dropdown</t>
  </si>
  <si>
    <t>Period control lists Hourly through Yearly</t>
  </si>
  <si>
    <t xml:space="preserve">1. Login as Super Admin on https://indore.bestinfra.app
2. Open Dashboard → DTR Overview
3. Confirm period is Daily unless the case changes it
4. Open the period dropdown at top-right</t>
  </si>
  <si>
    <t>Options: Hourly, Daily, Weekly, Monthly, Yearly</t>
  </si>
  <si>
    <t>Dropdown is visible. Daily is selected by default. All five period options are listed.</t>
  </si>
  <si>
    <t>Period dropdown is on the top right. Options: Hourly, Daily, Weekly, Monthly, Yearly. Daily is selected.</t>
  </si>
  <si>
    <t>Period dropdown Hourly–Yearly</t>
  </si>
  <si>
    <t>IND-DTO-0004</t>
  </si>
  <si>
    <t>Cursor</t>
  </si>
  <si>
    <t>Each clickable widget</t>
  </si>
  <si>
    <t>Clickable cards and graph parts show pointer cursor</t>
  </si>
  <si>
    <t xml:space="preserve">1. Login as Super Admin on https://indore.bestinfra.app
2. Open Dashboard → DTR Overview
3. Confirm period is Daily unless the case changes it
4. Hover KPI cards, values, sparklines, Power Status bars, Communication legend/pills, Energy Consumption legend, download icons</t>
  </si>
  <si>
    <t>Hover each interactive control</t>
  </si>
  <si>
    <t>Pointer (hand) cursor on every clickable area. Download icon is distinct from drill-down. Non-clickable padding stays default cursor.</t>
  </si>
  <si>
    <t>Pointer cursor / hit-area</t>
  </si>
  <si>
    <t>IND-DTO-0005</t>
  </si>
  <si>
    <t>Number format</t>
  </si>
  <si>
    <t>KPI values</t>
  </si>
  <si>
    <t>Counts use thousand separators and valid icons</t>
  </si>
  <si>
    <t xml:space="preserve">1. Login as Super Admin on https://indore.bestinfra.app
2. Open Dashboard → DTR Overview
3. Confirm period is Daily unless the case changes it
4. Read all four KPI values and icons</t>
  </si>
  <si>
    <t>Screenshot baseline 07-Sep-2026 (use live count on screen if different): Total DTRs 1,201; DTRs ON 1,066; DTRs OFF 0; Active Alerts 0</t>
  </si>
  <si>
    <t>Large numbers use comma separators. Icons match the card. No undefined / NaN / null.</t>
  </si>
  <si>
    <t>Total DTRs 1,201 and DTRs ON 1,066 use thousand separators. KPI icons match each card (green gear, blue tick, orange X, red bell). No undefined/NaN/null on visible widgets.</t>
  </si>
  <si>
    <t>Number format / icons</t>
  </si>
  <si>
    <t>IND-DTO-0006</t>
  </si>
  <si>
    <t>Layout polish</t>
  </si>
  <si>
    <t>Theme, legends, and download icons are readable</t>
  </si>
  <si>
    <t xml:space="preserve">1. Login as Super Admin on https://indore.bestinfra.app
2. Open Dashboard → DTR Overview
3. Confirm period is Daily unless the case changes it
4. Review alignment, legends, download icons, Power Status axis</t>
  </si>
  <si>
    <t>Desktop screenshot 07-Sep-2026</t>
  </si>
  <si>
    <t>Consistent theme. Legends not truncated. Download icons aligned. No overlapping cards. Power Status axis is readable.</t>
  </si>
  <si>
    <t>Desktop layout is clean: four equal KPI cards, no overlapping cards or clipped titles. Download icons sit on Power Status, Communication Status, and Energy Consumption. Power Status Y-axis is DTR Availability (%) from −100 to 100 even though all bars are +100%. Empty-state cards have no download icon.</t>
  </si>
  <si>
    <t>Layout polish / Power Status axis</t>
  </si>
  <si>
    <t>Bipolar % axis on Power Status is odd but readable.</t>
  </si>
  <si>
    <t>2. PERIOD FUNCTIONALITY</t>
  </si>
  <si>
    <t>IND-DTO-0007</t>
  </si>
  <si>
    <t>Period</t>
  </si>
  <si>
    <t>Daily (default)</t>
  </si>
  <si>
    <t>Daily is the active period and charts use daily buckets</t>
  </si>
  <si>
    <t xml:space="preserve">1. Login as Super Admin on https://indore.bestinfra.app
2. Open Dashboard → DTR Overview
3. Confirm period is Daily unless the case changes it
4. Read period control and Power Status / Energy Consumption X-axis</t>
  </si>
  <si>
    <t>Screenshot baseline 07-Sep-2026 (use live count on screen if different): Daily selected; last 12 days 27 Aug 2026 – 7 Sept 2026</t>
  </si>
  <si>
    <t>Daily is selected. Power Status and Energy Consumption show daily labels for the last 12 days.</t>
  </si>
  <si>
    <t>Daily is the selected period. Power Status subtitle is 'last 12 days · 27 Aug 2026 – 7 Sept 2026' with one bar per day. Energy Consumption uses the same 12-day axis (no plotted values — see DEF-DTO-003).</t>
  </si>
  <si>
    <t>GET /indore/dashboard/dtr/summary?period=daily + GET /indore/dashboard/dtr/power-status?period=daily</t>
  </si>
  <si>
    <t>IND-DTO-0008</t>
  </si>
  <si>
    <t>Hourly</t>
  </si>
  <si>
    <t>Switching to Hourly refreshes charts</t>
  </si>
  <si>
    <t xml:space="preserve">1. Login as Super Admin on https://indore.bestinfra.app
2. Open Dashboard → DTR Overview
3. Confirm period is Daily unless the case changes it
4. Select Hourly
5. Wait for loaders
6. Read Power Status / Energy Consumption axis</t>
  </si>
  <si>
    <t>Period = Hourly</t>
  </si>
  <si>
    <t>Widgets refresh. X-axis looks hourly (e.g. HH:MM). No stuck spinner. KPIs still visible.</t>
  </si>
  <si>
    <t>GET /indore/dashboard/dtr/summary?period=hourly + chart APIs period=hourly</t>
  </si>
  <si>
    <t>IND-DTO-0009</t>
  </si>
  <si>
    <t>Weekly</t>
  </si>
  <si>
    <t>Switching to Weekly refreshes charts</t>
  </si>
  <si>
    <t xml:space="preserve">1. Login as Super Admin on https://indore.bestinfra.app
2. Open Dashboard → DTR Overview
3. Confirm period is Daily unless the case changes it
4. Select Weekly
5. Observe charts</t>
  </si>
  <si>
    <t>Period = Weekly</t>
  </si>
  <si>
    <t>Charts update to week buckets (e.g. W1). No error toast or blank widgets.</t>
  </si>
  <si>
    <t>period=weekly on summary / power / communication / consumption</t>
  </si>
  <si>
    <t>IND-DTO-0010</t>
  </si>
  <si>
    <t>Monthly</t>
  </si>
  <si>
    <t>Switching to Monthly refreshes charts</t>
  </si>
  <si>
    <t xml:space="preserve">1. Login as Super Admin on https://indore.bestinfra.app
2. Open Dashboard → DTR Overview
3. Confirm period is Daily unless the case changes it
4. Select Monthly
5. Observe charts</t>
  </si>
  <si>
    <t>Period = Monthly</t>
  </si>
  <si>
    <t>Charts update to month labels. No error.</t>
  </si>
  <si>
    <t>period=monthly</t>
  </si>
  <si>
    <t>IND-DTO-0011</t>
  </si>
  <si>
    <t>Yearly</t>
  </si>
  <si>
    <t>Switching to Yearly refreshes charts</t>
  </si>
  <si>
    <t xml:space="preserve">1. Login as Super Admin on https://indore.bestinfra.app
2. Open Dashboard → DTR Overview
3. Confirm period is Daily unless the case changes it
4. Select Yearly
5. Observe charts</t>
  </si>
  <si>
    <t>Period = Yearly</t>
  </si>
  <si>
    <t>Charts update to years. Empty years allowed if designed; error is a Fail.</t>
  </si>
  <si>
    <t>period=yearly</t>
  </si>
  <si>
    <t>IND-DTO-0012</t>
  </si>
  <si>
    <t>Daily (restore)</t>
  </si>
  <si>
    <t>Returning to Daily restores the default view</t>
  </si>
  <si>
    <t xml:space="preserve">1. Login as Super Admin on https://indore.bestinfra.app
2. Open Dashboard → DTR Overview
3. Confirm period is Daily unless the case changes it
4. After another period, select Daily again</t>
  </si>
  <si>
    <t>Period = Daily</t>
  </si>
  <si>
    <t>Widgets restore. No broken layout. Leave Daily selected for remaining cases.</t>
  </si>
  <si>
    <t>Return period to Daily — UI state</t>
  </si>
  <si>
    <t>3. KPI CARDS — CLICK TO RELATED DTRS</t>
  </si>
  <si>
    <t>IND-DTO-0013</t>
  </si>
  <si>
    <t>Entire Total DTRs card</t>
  </si>
  <si>
    <t>Click Total DTRs opens all DTR records</t>
  </si>
  <si>
    <t xml:space="preserve">1. Login as Super Admin on https://indore.bestinfra.app
2. Open Dashboard → DTR Overview
3. Confirm period is Daily unless the case changes it
4. Note Total DTRs count
5. Click anywhere on the Total DTRs card
6. Observe the destination list</t>
  </si>
  <si>
    <t>Screenshot baseline 07-Sep-2026 (use live count on screen if different): Total DTRs = 1,201</t>
  </si>
  <si>
    <t>Navigates to related DTR records. List total = Total DTRs count. Related DTR list opens. Typical columns: Circle, Division, Zone, Sub Station, Feeder, DTR, MSN. Pagination total equals the number clicked. Filter/chip matches the clicked bucket. No unfiltered dump of all DTRs.</t>
  </si>
  <si>
    <t>GET /indore/dashboard/dtr/summary → data.totalDtrs.count  |  UI click has no list API</t>
  </si>
  <si>
    <t>IND-DTO-0014</t>
  </si>
  <si>
    <t>Total DTRs numeric value</t>
  </si>
  <si>
    <t>Click the Total DTRs number (not only the card edge)</t>
  </si>
  <si>
    <t xml:space="preserve">1. Login as Super Admin on https://indore.bestinfra.app
2. Open Dashboard → DTR Overview
3. Confirm period is Daily unless the case changes it
4. Click the large number 1,201 (or live)
5. Confirm same destination as the card body</t>
  </si>
  <si>
    <t>Click target: large KPI value</t>
  </si>
  <si>
    <t>Same related-records list as clicking the rest of the card. Count matches. Click is not a no-op.</t>
  </si>
  <si>
    <t>Click Total DTRs number — same destination as card</t>
  </si>
  <si>
    <t>IND-DTO-0015</t>
  </si>
  <si>
    <t>Total DTRs sparkline</t>
  </si>
  <si>
    <t>Click Total DTRs sparkline also drills down</t>
  </si>
  <si>
    <t xml:space="preserve">1. Login as Super Admin on https://indore.bestinfra.app
2. Open Dashboard → DTR Overview
3. Confirm period is Daily unless the case changes it
4. Click the green sparkline on Total DTRs</t>
  </si>
  <si>
    <t>Sparkline on Total DTRs card</t>
  </si>
  <si>
    <t>Navigates to the same all-DTR related records. Sparkline is not dead / chart-only.</t>
  </si>
  <si>
    <t>GET /indore/dashboard/dtr/summary → totalDtrs.trends / sparkline  |  click is UI</t>
  </si>
  <si>
    <t>IND-DTO-0016</t>
  </si>
  <si>
    <t>Entire DTRs ON card</t>
  </si>
  <si>
    <t>Click DTRs ON opens only ON records</t>
  </si>
  <si>
    <t xml:space="preserve">1. Login as Super Admin on https://indore.bestinfra.app
2. Open Dashboard → DTR Overview
3. Confirm period is Daily unless the case changes it
4. Note DTRs ON count
5. Click the DTRs ON card
6. Check list filter and total</t>
  </si>
  <si>
    <t>Screenshot baseline 07-Sep-2026 (use live count on screen if different): DTRs ON = 1,066</t>
  </si>
  <si>
    <t>Navigates to related records filtered to ON. List total = DTRs ON count. OFF rows are not listed.</t>
  </si>
  <si>
    <t>GET /indore/dashboard/dtr/summary → dtrsOn.count  |  drill GET /indore/dashboard/dtr/power-status-details?status=on</t>
  </si>
  <si>
    <t>src/modules/DASHBOARD/tests/dtrsummary.spec.ts  |  npm run test:dashboard  |  src/modules/DASHBOARD/tests/dtrpowerstatusdetails.spec.ts</t>
  </si>
  <si>
    <t>IND-DTO-0017</t>
  </si>
  <si>
    <t>DTRs ON sparkline / trend text</t>
  </si>
  <si>
    <t>Click DTRs ON sparkline or MoM text drills to ON records</t>
  </si>
  <si>
    <t xml:space="preserve">1. Login as Super Admin on https://indore.bestinfra.app
2. Open Dashboard → DTR Overview
3. Confirm period is Daily unless the case changes it
4. Click the blue sparkline
5. Return via browser Back
6. Click 'No Change vs Yesterday'</t>
  </si>
  <si>
    <t>Screenshot baseline 07-Sep-2026 (use live count on screen if different): No Change vs Yesterday</t>
  </si>
  <si>
    <t>Both sparkline and trend text open the ON related-records list. Trend text is not a dead label.</t>
  </si>
  <si>
    <t>Click DTRs ON sparkline</t>
  </si>
  <si>
    <t>IND-DTO-0018</t>
  </si>
  <si>
    <t>Entire DTRs OFF card</t>
  </si>
  <si>
    <t>Click DTRs OFF when count is 0</t>
  </si>
  <si>
    <t xml:space="preserve">1. Login as Super Admin on https://indore.bestinfra.app
2. Open Dashboard → DTR Overview
3. Confirm period is Daily unless the case changes it
4. Note DTRs OFF count
5. Click the DTRs OFF card</t>
  </si>
  <si>
    <t>Screenshot baseline 07-Sep-2026 (use live count on screen if different): DTRs OFF = 0</t>
  </si>
  <si>
    <t>Navigates to OFF related records with empty state / 0 records. Must not error, hang, or show the full 1,201 DTR list.</t>
  </si>
  <si>
    <t>GET /indore/dashboard/dtr/summary → dtrsOff.count  |  drill GET /indore/dashboard/dtr/power-status-details?status=off</t>
  </si>
  <si>
    <t>IND-DTO-0019</t>
  </si>
  <si>
    <t>DTRs OFF sparkline / trend text</t>
  </si>
  <si>
    <t>Click DTRs OFF sparkline drills to the same OFF list</t>
  </si>
  <si>
    <t xml:space="preserve">1. Login as Super Admin on https://indore.bestinfra.app
2. Open Dashboard → DTR Overview
3. Confirm period is Daily unless the case changes it
4. Click the orange sparkline on DTRs OFF</t>
  </si>
  <si>
    <t>Same OFF related-records list as the card click. Total still matches DTRs OFF count (0 → empty).</t>
  </si>
  <si>
    <t>Click DTRs OFF sparkline</t>
  </si>
  <si>
    <t>IND-DTO-0020</t>
  </si>
  <si>
    <t>Entire Active Alerts card</t>
  </si>
  <si>
    <t>Click Active Alerts opens alert/DTR records</t>
  </si>
  <si>
    <t xml:space="preserve">1. Login as Super Admin on https://indore.bestinfra.app
2. Open Dashboard → DTR Overview
3. Confirm period is Daily unless the case changes it
4. Note Active Alerts count
5. Click the Active Alerts card</t>
  </si>
  <si>
    <t>Screenshot baseline 07-Sep-2026 (use live count on screen if different): Active Alerts = 0</t>
  </si>
  <si>
    <t>Navigates to related alert records. List total = Active Alerts count. If 0: empty/0, not full fleet, not error.</t>
  </si>
  <si>
    <t>GET /indore/dashboard/dtr/summary → activeAlerts.count  |  no dedicated alerts-details API mapped</t>
  </si>
  <si>
    <t>IND-DTO-0021</t>
  </si>
  <si>
    <t>Active Alerts when 0</t>
  </si>
  <si>
    <t>Zero Active Alerts does not dump the fleet</t>
  </si>
  <si>
    <t xml:space="preserve">1. Login as Super Admin on https://indore.bestinfra.app
2. Open Dashboard → DTR Overview
3. Confirm period is Daily unless the case changes it
4. If Active Alerts is 0, click the card and read list total</t>
  </si>
  <si>
    <t>Destination total is 0. Showing thousands of unfiltered DTRs is a Fail. If live count &gt; 0, Pass with Note that 0020 already covered the non-zero path.</t>
  </si>
  <si>
    <t>Active Alerts zero-count empty list</t>
  </si>
  <si>
    <t>IND-DTO-0022</t>
  </si>
  <si>
    <t>KPI cards</t>
  </si>
  <si>
    <t>Browser Back</t>
  </si>
  <si>
    <t>Back from a KPI drill-down returns to DTR Overview</t>
  </si>
  <si>
    <t xml:space="preserve">1. Login as Super Admin on https://indore.bestinfra.app
2. Open Dashboard → DTR Overview
3. Confirm period is Daily unless the case changes it
4. Click Total DTRs card
5. Wait for list to load
6. Press browser Back</t>
  </si>
  <si>
    <t>Browser Back after KPI drill-down</t>
  </si>
  <si>
    <t>Returns to DTR Overview with all widgets intact. Period remains Daily. Counts still visible.</t>
  </si>
  <si>
    <t>Browser Back from KPI list</t>
  </si>
  <si>
    <t>4. COMMUNICATION STATUS — CLICK TO RELATED RECORDS</t>
  </si>
  <si>
    <t>IND-DTO-0023</t>
  </si>
  <si>
    <t>Communicating legend / donut</t>
  </si>
  <si>
    <t>Click Communicating opens those meters</t>
  </si>
  <si>
    <t xml:space="preserve">1. Login as Super Admin on https://indore.bestinfra.app
2. Open Dashboard → DTR Overview
3. Confirm period is Daily unless the case changes it
4. Note Communicating count
5. Click the Communicating legend row or donut segment</t>
  </si>
  <si>
    <t>Screenshot baseline 07-Sep-2026 (use live count on screen if different): Communicating = 0 (0.0%); Total Meters = 0</t>
  </si>
  <si>
    <t>If count &gt; 0: list total equals Communicating count and every row is communicating. If count = 0: empty state / 0 records (not an error, and not the full 1,201 list).</t>
  </si>
  <si>
    <t>GET /indore/dashboard/dtr/communication-status  |  GET /indore/dashboard/dtr/communication-details?status=communicated</t>
  </si>
  <si>
    <t>IND-DTO-0024</t>
  </si>
  <si>
    <t>Non-Communicating legend / donut</t>
  </si>
  <si>
    <t>Click Non-Communicating opens those meters</t>
  </si>
  <si>
    <t xml:space="preserve">1. Login as Super Admin on https://indore.bestinfra.app
2. Open Dashboard → DTR Overview
3. Confirm period is Daily unless the case changes it
4. Click Non-Communicating legend or orange count pill</t>
  </si>
  <si>
    <t>Screenshot baseline 07-Sep-2026 (use live count on screen if different): Non-Communicating = 0 (0.0%)</t>
  </si>
  <si>
    <t>Same empty-state rule as 0023 when count is 0. If live count &gt; 0, list total matches and rows are Non-Communicating only.</t>
  </si>
  <si>
    <t>GET /indore/dashboard/dtr/communication-status  |  GET /indore/dashboard/dtr/communication-details?status=non-communicated</t>
  </si>
  <si>
    <t>IND-DTO-0025</t>
  </si>
  <si>
    <t>Communicating count pill / %</t>
  </si>
  <si>
    <t>Click Communicating count or 0.0%</t>
  </si>
  <si>
    <t xml:space="preserve">1. Login as Super Admin on https://indore.bestinfra.app
2. Open Dashboard → DTR Overview
3. Confirm period is Daily unless the case changes it
4. Click the blue count pill
5. Back
6. Click 0.0%</t>
  </si>
  <si>
    <t>Count pill and percentage on Communicating row</t>
  </si>
  <si>
    <t>Both clicks open the same Communicating related-records list. Percentage is not a dead label.</t>
  </si>
  <si>
    <t>IND-DTO-0026</t>
  </si>
  <si>
    <t>Non-Communicating count pill / %</t>
  </si>
  <si>
    <t>Click Non-Communicating count or 0.0%</t>
  </si>
  <si>
    <t xml:space="preserve">1. Login as Super Admin on https://indore.bestinfra.app
2. Open Dashboard → DTR Overview
3. Confirm period is Daily unless the case changes it
4. Click the orange count pill and percentage</t>
  </si>
  <si>
    <t>Count pill and percentage on Non-Communicating row</t>
  </si>
  <si>
    <t>Same destination as the Non-Communicating segment. Empty-state rule still applies when count is 0.</t>
  </si>
  <si>
    <t>IND-DTO-0027</t>
  </si>
  <si>
    <t>Donut center Total Meters</t>
  </si>
  <si>
    <t>Click donut center total</t>
  </si>
  <si>
    <t xml:space="preserve">1. Login as Super Admin on https://indore.bestinfra.app
2. Open Dashboard → DTR Overview
3. Confirm period is Daily unless the case changes it
4. Click center text 'Total Meters 0' (or live total)</t>
  </si>
  <si>
    <t>Screenshot baseline 07-Sep-2026 (use live count on screen if different): Total Meters 0</t>
  </si>
  <si>
    <t>Navigates to related records for the Communication Status population. List total = center total. If center is not clickable, log as defect against the click-through rule.</t>
  </si>
  <si>
    <t>Click a Communication time-bucket</t>
  </si>
  <si>
    <t>IND-DTO-0028</t>
  </si>
  <si>
    <t>Non-Communicating after period change</t>
  </si>
  <si>
    <t>Click still works after switching period then back to Daily</t>
  </si>
  <si>
    <t xml:space="preserve">1. Login as Super Admin on https://indore.bestinfra.app
2. Open Dashboard → DTR Overview
3. Confirm period is Daily unless the case changes it
4. Switch to Hourly, wait
5. Switch back to Daily
6. Click Non-Communicating</t>
  </si>
  <si>
    <t>Period change then click</t>
  </si>
  <si>
    <t>Related records still open (empty/0 allowed if live count is 0). No dead click after period change.</t>
  </si>
  <si>
    <t>period change then communication-details</t>
  </si>
  <si>
    <t>src/modules/DASHBOARD/tests/dtrcommunicationdetails.spec.ts</t>
  </si>
  <si>
    <t>IND-DTO-0029</t>
  </si>
  <si>
    <t>Communication Status download exports and does not open records</t>
  </si>
  <si>
    <t xml:space="preserve">1. Login as Super Admin on https://indore.bestinfra.app
2. Open Dashboard → DTR Overview
3. Confirm period is Daily unless the case changes it
4. Click the download icon on Communication Status
5. Confirm file vs navigation</t>
  </si>
  <si>
    <t>Download icon on Communication Status card</t>
  </si>
  <si>
    <t>File download starts (xlsx/csv/png as designed). URL stays on DTR Overview. Related-records list does not open.</t>
  </si>
  <si>
    <t>Communication download icon</t>
  </si>
  <si>
    <t>5. POWER STATUS — CLICK TO RELATED RECORDS</t>
  </si>
  <si>
    <t>IND-DTO-0030</t>
  </si>
  <si>
    <t>ON legend / series / 100% bars</t>
  </si>
  <si>
    <t>Click Power Status ON / availability opens ON DTRs</t>
  </si>
  <si>
    <t xml:space="preserve">1. Login as Super Admin on https://indore.bestinfra.app
2. Open Dashboard → DTR Overview
3. Confirm period is Daily unless the case changes it
4. Click a green 100% bar or ON legend if present
5. Check list filter and total</t>
  </si>
  <si>
    <t>Screenshot baseline 07-Sep-2026 (use live count on screen if different): all 12 bars at 100% DTR Availability; DTRs ON KPI = 1,066</t>
  </si>
  <si>
    <t>Navigates to ON related records. List total should match DTRs ON (1,066) or the bar's documented bucket. OFF rows are not listed.</t>
  </si>
  <si>
    <t>GET /indore/dashboard/dtr/power-status + GET /indore/dashboard/dtr/power-status-details?status=on</t>
  </si>
  <si>
    <t>IND-DTO-0031</t>
  </si>
  <si>
    <t>OFF legend / series</t>
  </si>
  <si>
    <t>Click Power Status OFF opens OFF DTRs</t>
  </si>
  <si>
    <t xml:space="preserve">1. Login as Super Admin on https://indore.bestinfra.app
2. Open Dashboard → DTR Overview
3. Confirm period is Daily unless the case changes it
4. Click OFF legend if present; if only 100% ON bars exist, click a negative/OFF region if designed</t>
  </si>
  <si>
    <t>Screenshot baseline 07-Sep-2026 (use live count on screen if different): DTRs OFF = 0; no negative bars visible</t>
  </si>
  <si>
    <t>If OFF series exists: list total = OFF count (0 → empty). If OFF is not a clickable series because availability is 100%, Pass with Note and use DTRs OFF KPI (0018) as the OFF path.</t>
  </si>
  <si>
    <t>GET /indore/dashboard/dtr/power-status + GET /indore/dashboard/dtr/power-status-details?status=off</t>
  </si>
  <si>
    <t>IND-DTO-0032</t>
  </si>
  <si>
    <t>Latest day bar (7 Sept)</t>
  </si>
  <si>
    <t>Click the latest Power Status bar</t>
  </si>
  <si>
    <t xml:space="preserve">1. Login as Super Admin on https://indore.bestinfra.app
2. Open Dashboard → DTR Overview
3. Confirm period is Daily unless the case changes it
4. Click the 7 Sept (or latest) green bar</t>
  </si>
  <si>
    <t>Screenshot baseline 07-Sep-2026 (use live count on screen if different): 7 Sept bar at 100%</t>
  </si>
  <si>
    <t>Opens related ON records for that day/status if designed; if the bar is display-only, legend/KPI still must drill (Pass with Note on bar, Fail if the click is a no-op and there is no other ON path).</t>
  </si>
  <si>
    <t>Click latest Power Status ON bar</t>
  </si>
  <si>
    <t>IND-DTO-0033</t>
  </si>
  <si>
    <t>Earlier day bar (27 Aug)</t>
  </si>
  <si>
    <t>Click an earlier Power Status bar</t>
  </si>
  <si>
    <t xml:space="preserve">1. Login as Super Admin on https://indore.bestinfra.app
2. Open Dashboard → DTR Overview
3. Confirm period is Daily unless the case changes it
4. Click the 27 Aug bar</t>
  </si>
  <si>
    <t>First bar on the 12-day axis</t>
  </si>
  <si>
    <t>Same rule as 0032. No error. Filter/date evidence if the list is day-scoped.</t>
  </si>
  <si>
    <t>Click latest Power Status OFF bar</t>
  </si>
  <si>
    <t>IND-DTO-0034</t>
  </si>
  <si>
    <t>Power Status download does not navigate</t>
  </si>
  <si>
    <t xml:space="preserve">1. Login as Super Admin on https://indore.bestinfra.app
2. Open Dashboard → DTR Overview
3. Confirm period is Daily unless the case changes it
4. Click Power Status download icon</t>
  </si>
  <si>
    <t>Download icon on Power Status card</t>
  </si>
  <si>
    <t>Export only. Stay on DTR Overview. File contains ON/OFF or availability breakdown.</t>
  </si>
  <si>
    <t>Power Status download</t>
  </si>
  <si>
    <t>6. ENERGY CONSUMPTION — CLICK TO RELATED RECORDS</t>
  </si>
  <si>
    <t>IND-DTO-0035</t>
  </si>
  <si>
    <t>kWh legend</t>
  </si>
  <si>
    <t>Click kWh legend opens kWh related records</t>
  </si>
  <si>
    <t xml:space="preserve">1. Login as Super Admin on https://indore.bestinfra.app
2. Open Dashboard → DTR Overview
3. Confirm period is Daily unless the case changes it
4. Click legend 'kWh'</t>
  </si>
  <si>
    <t>Screenshot baseline 07-Sep-2026 (use live count on screen if different): kWh / kVAh / kVARh legend present; no plotted series</t>
  </si>
  <si>
    <t>Navigates to DTR consumption records for kWh. Grid shows a kWh column. Fail if click does nothing or opens a different kind. Empty chart series is a product defect but legend must still be clickable.</t>
  </si>
  <si>
    <t>GET /indore/dashboard/dtr/consumption + GET /indore/dashboard/dtr/consumption-details?kind=kwh</t>
  </si>
  <si>
    <t>IND-DTO-0036</t>
  </si>
  <si>
    <t>kVAh legend</t>
  </si>
  <si>
    <t>Click kVAh legend opens kVAh related records</t>
  </si>
  <si>
    <t xml:space="preserve">1. Login as Super Admin on https://indore.bestinfra.app
2. Open Dashboard → DTR Overview
3. Confirm period is Daily unless the case changes it
4. Click legend 'kVAh'</t>
  </si>
  <si>
    <t>kVAh records. Column kVAh. Not the kWh list.</t>
  </si>
  <si>
    <t>GET /indore/dashboard/dtr/consumption + GET /indore/dashboard/dtr/consumption-details?kind=kvah</t>
  </si>
  <si>
    <t>IND-DTO-0037</t>
  </si>
  <si>
    <t>kVARh legend</t>
  </si>
  <si>
    <t>Click kVARh legend opens kVARh related records</t>
  </si>
  <si>
    <t xml:space="preserve">1. Login as Super Admin on https://indore.bestinfra.app
2. Open Dashboard → DTR Overview
3. Confirm period is Daily unless the case changes it
4. Click legend 'kVARh'</t>
  </si>
  <si>
    <t>kVARh records. Not mixed with kWh.</t>
  </si>
  <si>
    <t>GET /indore/dashboard/dtr/consumption + GET /indore/dashboard/dtr/consumption-details?kind=kvarh</t>
  </si>
  <si>
    <t>IND-DTO-0038</t>
  </si>
  <si>
    <t>kWh plot / 7 Sept hover</t>
  </si>
  <si>
    <t>Click a kWh bar or the highlighted 7 Sept point</t>
  </si>
  <si>
    <t xml:space="preserve">1. Login as Super Admin on https://indore.bestinfra.app
2. Open Dashboard → DTR Overview
3. Confirm period is Daily unless the case changes it
4. Click in the plot area / 7 Sept highlight</t>
  </si>
  <si>
    <t>Screenshot baseline 07-Sep-2026 (use live count on screen if different): 07 Sept x-axis can highlight; no line visible</t>
  </si>
  <si>
    <t>Same kWh related records as the legend (or Pass with Note if bars are display-only and legend works). Dead plot + dead legend is a Fail.</t>
  </si>
  <si>
    <t>Click a kWh bar</t>
  </si>
  <si>
    <t>IND-DTO-0039</t>
  </si>
  <si>
    <t>kVAh plot</t>
  </si>
  <si>
    <t>Click a kVAh series point if visible</t>
  </si>
  <si>
    <t xml:space="preserve">1. Login as Super Admin on https://indore.bestinfra.app
2. Open Dashboard → DTR Overview
3. Confirm period is Daily unless the case changes it
4. Click kVAh series or legend if plot is empty</t>
  </si>
  <si>
    <t>kVAh series</t>
  </si>
  <si>
    <t>Same as kVAh legend.</t>
  </si>
  <si>
    <t>Click a kVAh bar</t>
  </si>
  <si>
    <t>IND-DTO-0040</t>
  </si>
  <si>
    <t>kVARh plot</t>
  </si>
  <si>
    <t>Click a kVARh series point if visible</t>
  </si>
  <si>
    <t xml:space="preserve">1. Login as Super Admin on https://indore.bestinfra.app
2. Open Dashboard → DTR Overview
3. Confirm period is Daily unless the case changes it
4. Click kVARh series or legend if plot is empty</t>
  </si>
  <si>
    <t>kVARh series</t>
  </si>
  <si>
    <t>Same as kVARh legend.</t>
  </si>
  <si>
    <t>Click a kVArh bar</t>
  </si>
  <si>
    <t>IND-DTO-0041</t>
  </si>
  <si>
    <t>Energy Consumption download does not navigate</t>
  </si>
  <si>
    <t xml:space="preserve">1. Login as Super Admin on https://indore.bestinfra.app
2. Open Dashboard → DTR Overview
3. Confirm period is Daily unless the case changes it
4. Click Energy Consumption download icon</t>
  </si>
  <si>
    <t>Download icon on Energy Consumption card</t>
  </si>
  <si>
    <t>Export only. Stay on DTR Overview. File includes kWh/kVAh/kVARh if it is a data export.</t>
  </si>
  <si>
    <t>Energy Consumption download</t>
  </si>
  <si>
    <t>7. LOAD UNBALANCE — CLICK TO RELATED RECORDS</t>
  </si>
  <si>
    <t>IND-DTO-0042</t>
  </si>
  <si>
    <t>Severe donut segment</t>
  </si>
  <si>
    <t>Click Severe opens severe load-unbalance DTRs</t>
  </si>
  <si>
    <t xml:space="preserve">1. Login as Super Admin on https://indore.bestinfra.app
2. Open Dashboard → DTR Overview
3. Confirm period is Daily unless the case changes it
4. Click Severe segment (or document Data Unavailable)</t>
  </si>
  <si>
    <t>Screenshot baseline 07-Sep-2026 (use live count on screen if different): widget Data Unavailable — not available from the API yet</t>
  </si>
  <si>
    <t>Navigates to Severe related records. List total = Severe count. If the widget is Data Unavailable, Fail (cannot click) and keep DEF-DTO-001.</t>
  </si>
  <si>
    <t>GET /indore/dashboard/dtr/load-unbalance + GET /indore/dashboard/dtr/load-unbalance-details?severity=severe</t>
  </si>
  <si>
    <t>IND-DTO-0043</t>
  </si>
  <si>
    <t>Severe legend / count pill</t>
  </si>
  <si>
    <t>Click Severe legend or count</t>
  </si>
  <si>
    <t xml:space="preserve">1. Login as Super Admin on https://indore.bestinfra.app
2. Open Dashboard → DTR Overview
3. Confirm period is Daily unless the case changes it
4. Click Severe legend</t>
  </si>
  <si>
    <t>Severe legend</t>
  </si>
  <si>
    <t>Same Severe list as the segment.</t>
  </si>
  <si>
    <t>Load Unbalance Severe legend</t>
  </si>
  <si>
    <t>IND-DTO-0044</t>
  </si>
  <si>
    <t>Moderate donut segment</t>
  </si>
  <si>
    <t>Click Moderate opens moderate records</t>
  </si>
  <si>
    <t xml:space="preserve">1. Login as Super Admin on https://indore.bestinfra.app
2. Open Dashboard → DTR Overview
3. Confirm period is Daily unless the case changes it
4. Click Moderate segment</t>
  </si>
  <si>
    <t>Moderate band</t>
  </si>
  <si>
    <t>Filtered Moderate. List total = Moderate count.</t>
  </si>
  <si>
    <t>GET /indore/dashboard/dtr/load-unbalance + GET /indore/dashboard/dtr/load-unbalance-details?severity=moderate</t>
  </si>
  <si>
    <t>IND-DTO-0045</t>
  </si>
  <si>
    <t>Moderate legend / count pill</t>
  </si>
  <si>
    <t>Click Moderate legend or count</t>
  </si>
  <si>
    <t xml:space="preserve">1. Login as Super Admin on https://indore.bestinfra.app
2. Open Dashboard → DTR Overview
3. Confirm period is Daily unless the case changes it
4. Click Moderate legend</t>
  </si>
  <si>
    <t>Moderate legend</t>
  </si>
  <si>
    <t>Same Moderate list as the segment.</t>
  </si>
  <si>
    <t>Load Unbalance Moderate legend</t>
  </si>
  <si>
    <t>IND-DTO-0046</t>
  </si>
  <si>
    <t>Balanced donut segment</t>
  </si>
  <si>
    <t>Click Balanced opens balanced records</t>
  </si>
  <si>
    <t xml:space="preserve">1. Login as Super Admin on https://indore.bestinfra.app
2. Open Dashboard → DTR Overview
3. Confirm period is Daily unless the case changes it
4. Click Balanced segment</t>
  </si>
  <si>
    <t>Balanced band — zero-count rule if 0</t>
  </si>
  <si>
    <t>Filtered Balanced. If count = 0: empty/0, not full fleet.</t>
  </si>
  <si>
    <t>GET /indore/dashboard/dtr/load-unbalance + GET /indore/dashboard/dtr/load-unbalance-details?severity=balanced</t>
  </si>
  <si>
    <t>IND-DTO-0047</t>
  </si>
  <si>
    <t>Balanced legend / count pill</t>
  </si>
  <si>
    <t>Click Balanced legend or count</t>
  </si>
  <si>
    <t xml:space="preserve">1. Login as Super Admin on https://indore.bestinfra.app
2. Open Dashboard → DTR Overview
3. Confirm period is Daily unless the case changes it
4. Click Balanced legend</t>
  </si>
  <si>
    <t>Balanced legend</t>
  </si>
  <si>
    <t>Same Balanced list as the segment.</t>
  </si>
  <si>
    <t>Load Unbalance Balanced legend</t>
  </si>
  <si>
    <t>IND-DTO-0048</t>
  </si>
  <si>
    <t>Click Load Unbalance center total</t>
  </si>
  <si>
    <t xml:space="preserve">1. Login as Super Admin on https://indore.bestinfra.app
2. Open Dashboard → DTR Overview
3. Confirm period is Daily unless the case changes it
4. Click center total if present</t>
  </si>
  <si>
    <t>Center total = Severe+Moderate+Balanced</t>
  </si>
  <si>
    <t>All load-unbalance DTRs. Total = center. If center is not clickable, Fail vs click-through rule. Data Unavailable = Fail DEF-DTO-001.</t>
  </si>
  <si>
    <t>GET /indore/dashboard/dtr/load-unbalance center / item sum</t>
  </si>
  <si>
    <t>src/modules/DASHBOARD/tests/dtrloadunbalance.spec.ts</t>
  </si>
  <si>
    <t>IND-DTO-0049</t>
  </si>
  <si>
    <t>Percentage on a legend row</t>
  </si>
  <si>
    <t>Click percentage drills to that severity</t>
  </si>
  <si>
    <t xml:space="preserve">1. Login as Super Admin on https://indore.bestinfra.app
2. Open Dashboard → DTR Overview
3. Confirm period is Daily unless the case changes it
4. Click a legend percentage</t>
  </si>
  <si>
    <t>Percentage on Severe/Moderate/Balanced</t>
  </si>
  <si>
    <t>Opens that severity. Percentage is not a dead label.</t>
  </si>
  <si>
    <t>Load Unbalance percentage</t>
  </si>
  <si>
    <t>IND-DTO-0050</t>
  </si>
  <si>
    <t>Load Unbalance download does not navigate</t>
  </si>
  <si>
    <t xml:space="preserve">1. Login as Super Admin on https://indore.bestinfra.app
2. Open Dashboard → DTR Overview
3. Confirm period is Daily unless the case changes it
4. Click download if the icon exists</t>
  </si>
  <si>
    <t>Screenshot baseline 07-Sep-2026 (use live count on screen if different): no download icon while Data Unavailable</t>
  </si>
  <si>
    <t>Export only. Stay on DTR Overview. If icon is missing because the widget is unavailable, Fail with DEF-DTO-001 (widget not usable).</t>
  </si>
  <si>
    <t>Load Unbalance download</t>
  </si>
  <si>
    <t>8. VOLTAGE UNBALANCE — CLICK TO RELATED RECORDS</t>
  </si>
  <si>
    <t>IND-DTO-0051</t>
  </si>
  <si>
    <t>Click Severe opens severe voltage-unbalance DTRs</t>
  </si>
  <si>
    <t>Screenshot baseline 07-Sep-2026 (use live count on screen if different): widget Data Unavailable</t>
  </si>
  <si>
    <t>Filtered Severe. List total = Severe count. Data Unavailable = Fail DEF-DTO-001.</t>
  </si>
  <si>
    <t>GET /indore/dashboard/dtr/voltage-unbalance + GET /indore/dashboard/dtr/voltage-unbalance-details?severity=severe</t>
  </si>
  <si>
    <t>IND-DTO-0052</t>
  </si>
  <si>
    <t>Severe legend / count</t>
  </si>
  <si>
    <t>Voltage Unbalance Severe legend</t>
  </si>
  <si>
    <t>IND-DTO-0053</t>
  </si>
  <si>
    <t>GET /indore/dashboard/dtr/voltage-unbalance + GET /indore/dashboard/dtr/voltage-unbalance-details?severity=moderate</t>
  </si>
  <si>
    <t>IND-DTO-0054</t>
  </si>
  <si>
    <t>Moderate legend / count</t>
  </si>
  <si>
    <t>Same Moderate list.</t>
  </si>
  <si>
    <t>Voltage Unbalance Moderate legend</t>
  </si>
  <si>
    <t>IND-DTO-0055</t>
  </si>
  <si>
    <t>Balanced band</t>
  </si>
  <si>
    <t>Filtered Balanced. Zero-count rule applies.</t>
  </si>
  <si>
    <t>GET /indore/dashboard/dtr/voltage-unbalance + GET /indore/dashboard/dtr/voltage-unbalance-details?severity=balanced</t>
  </si>
  <si>
    <t>IND-DTO-0056</t>
  </si>
  <si>
    <t>Balanced legend / count</t>
  </si>
  <si>
    <t>Same Balanced list.</t>
  </si>
  <si>
    <t>Voltage Unbalance Balanced legend</t>
  </si>
  <si>
    <t>IND-DTO-0057</t>
  </si>
  <si>
    <t>Click Voltage Unbalance center total</t>
  </si>
  <si>
    <t>Center = sum of three bands</t>
  </si>
  <si>
    <t>All voltage-unbalance DTRs. Total = center. Data Unavailable = Fail DEF-DTO-001.</t>
  </si>
  <si>
    <t>GET /indore/dashboard/dtr/voltage-unbalance center / item sum</t>
  </si>
  <si>
    <t>src/modules/DASHBOARD/tests/dtrvoltageunbalance.spec.ts</t>
  </si>
  <si>
    <t>IND-DTO-0058</t>
  </si>
  <si>
    <t>Percentage on a voltage band</t>
  </si>
  <si>
    <t>Voltage Unbalance percentage</t>
  </si>
  <si>
    <t>IND-DTO-0059</t>
  </si>
  <si>
    <t>Voltage Unbalance download does not navigate</t>
  </si>
  <si>
    <t xml:space="preserve">1. Login as Super Admin on https://indore.bestinfra.app
2. Open Dashboard → DTR Overview
3. Confirm period is Daily unless the case changes it
4. Click download if present</t>
  </si>
  <si>
    <t>Export only. Stay on DTR Overview.</t>
  </si>
  <si>
    <t>Voltage Unbalance download</t>
  </si>
  <si>
    <t>9. PERCENTAGE LOADING — CLICK TO RELATED RECORDS</t>
  </si>
  <si>
    <t>IND-DTO-0060</t>
  </si>
  <si>
    <t>Critical / &gt;=75% band</t>
  </si>
  <si>
    <t>Click Critical opens high-loading DTRs</t>
  </si>
  <si>
    <t xml:space="preserve">1. Login as Super Admin on https://indore.bestinfra.app
2. Open Dashboard → DTR Overview
3. Confirm period is Daily unless the case changes it
4. Click Critical / &gt;=75% (segment, bar, or legend)</t>
  </si>
  <si>
    <t>Screenshot baseline 07-Sep-2026 (use live count on screen if different): Data Unavailable — Transformer utilization distribution</t>
  </si>
  <si>
    <t>Related DTRs with loading in Critical. Load % on rows &gt;= 75 (or live UI rule). Total = Critical count. Data Unavailable = Fail DEF-DTO-001.</t>
  </si>
  <si>
    <t>GET /indore/dashboard/dtr/percentage-loading-details?band=critical</t>
  </si>
  <si>
    <t>IND-DTO-0061</t>
  </si>
  <si>
    <t>High Load / &gt;=25% and &lt;=74%</t>
  </si>
  <si>
    <t>Click High Load opens that band</t>
  </si>
  <si>
    <t xml:space="preserve">1. Login as Super Admin on https://indore.bestinfra.app
2. Open Dashboard → DTR Overview
3. Confirm period is Daily unless the case changes it
4. Click High Load band</t>
  </si>
  <si>
    <t>High Load band</t>
  </si>
  <si>
    <t>High Load only. Load % in that band. Total = High Load count.</t>
  </si>
  <si>
    <t>GET /indore/dashboard/dtr/percentage-loading-details?band=high-load</t>
  </si>
  <si>
    <t>IND-DTO-0062</t>
  </si>
  <si>
    <t>Normal / &gt;=10% and &lt;25%</t>
  </si>
  <si>
    <t>Click Normal opens that band</t>
  </si>
  <si>
    <t xml:space="preserve">1. Login as Super Admin on https://indore.bestinfra.app
2. Open Dashboard → DTR Overview
3. Confirm period is Daily unless the case changes it
4. Click Normal band</t>
  </si>
  <si>
    <t>Normal band</t>
  </si>
  <si>
    <t>Normal only. Total = Normal count.</t>
  </si>
  <si>
    <t>GET /indore/dashboard/dtr/percentage-loading-details?band=normal</t>
  </si>
  <si>
    <t>IND-DTO-0063</t>
  </si>
  <si>
    <t>Under Utilized / &lt;10%</t>
  </si>
  <si>
    <t>Click Under Utilized opens that band</t>
  </si>
  <si>
    <t xml:space="preserve">1. Login as Super Admin on https://indore.bestinfra.app
2. Open Dashboard → DTR Overview
3. Confirm period is Daily unless the case changes it
4. Click Under Utilized band</t>
  </si>
  <si>
    <t>Under Utilized band — often tiny</t>
  </si>
  <si>
    <t>Under Utilized only. Total = that count. Tiny band still reachable via legend.</t>
  </si>
  <si>
    <t>GET /indore/dashboard/dtr/percentage-loading-details?band=under-utilized</t>
  </si>
  <si>
    <t>IND-DTO-0064</t>
  </si>
  <si>
    <t>Count pill / % on one band</t>
  </si>
  <si>
    <t>Click count or percentage on a loading band</t>
  </si>
  <si>
    <t xml:space="preserve">1. Login as Super Admin on https://indore.bestinfra.app
2. Open Dashboard → DTR Overview
3. Confirm period is Daily unless the case changes it
4. Click a count pill or %</t>
  </si>
  <si>
    <t>Count / % on Critical or live band</t>
  </si>
  <si>
    <t>Same list as that band. Not a dead label.</t>
  </si>
  <si>
    <t>Percentage Loading count pill / %</t>
  </si>
  <si>
    <t>IND-DTO-0065</t>
  </si>
  <si>
    <t>Center / Total</t>
  </si>
  <si>
    <t>Click loading widget center total</t>
  </si>
  <si>
    <t xml:space="preserve">1. Login as Super Admin on https://indore.bestinfra.app
2. Open Dashboard → DTR Overview
3. Confirm period is Daily unless the case changes it
4. Click center / Total if present</t>
  </si>
  <si>
    <t>Total = sum of four bands</t>
  </si>
  <si>
    <t>All scored loading DTRs. Total = sum of four bands. Data Unavailable = Fail DEF-DTO-001.</t>
  </si>
  <si>
    <t>No dedicated percentage-loading summary/distribution API — only details by band</t>
  </si>
  <si>
    <t>IND-DTO-0066</t>
  </si>
  <si>
    <t>Percentage Loading download does not navigate</t>
  </si>
  <si>
    <t>Export only. Stay on DTR Overview. File includes all four bands including any 0-count band.</t>
  </si>
  <si>
    <t>Percentage Loading download</t>
  </si>
  <si>
    <t>10. DRILL-DOWN LIST BEHAVIOUR</t>
  </si>
  <si>
    <t>IND-DTO-0067</t>
  </si>
  <si>
    <t>Drill-down list</t>
  </si>
  <si>
    <t>Any widget → list</t>
  </si>
  <si>
    <t>List shows applied filter matching the click</t>
  </si>
  <si>
    <t xml:space="preserve">1. Login as Super Admin on https://indore.bestinfra.app
2. Open Dashboard → DTR Overview
3. Confirm period is Daily unless the case changes it
4. Click DTRs ON
5. Observe page title, breadcrumb, chips, or active filter</t>
  </si>
  <si>
    <t>Clicked bucket: DTRs ON</t>
  </si>
  <si>
    <t>Destination clearly shows filter = ON (title, chip, or highlighted filter). User can tell they are not on the unfiltered list.</t>
  </si>
  <si>
    <t>details APIs return filtered rows + pagination.total</t>
  </si>
  <si>
    <t>src/modules/DASHBOARD/tests/dashboard.db.spec.ts  |  npm run test:dashboard:db</t>
  </si>
  <si>
    <t>IND-DTO-0068</t>
  </si>
  <si>
    <t>Pagination total</t>
  </si>
  <si>
    <t>Pagination total equals the number clicked</t>
  </si>
  <si>
    <t xml:space="preserve">1. Login as Super Admin on https://indore.bestinfra.app
2. Open Dashboard → DTR Overview
3. Confirm period is Daily unless the case changes it
4. Click Total DTRs (1,201)
5. Read showing X of Y
6. Repeat with DTRs OFF (0) and DTRs ON (1,066)</t>
  </si>
  <si>
    <t>Compare card count vs list pagination.total</t>
  </si>
  <si>
    <t>List total = widget count for that click. Mismatch is a Fail. For count 0, empty/0 — not the full fleet.</t>
  </si>
  <si>
    <t>pagination.total vs widget count</t>
  </si>
  <si>
    <t>IND-DTO-0069</t>
  </si>
  <si>
    <t>List columns</t>
  </si>
  <si>
    <t>Related records grid has usable DTR columns</t>
  </si>
  <si>
    <t xml:space="preserve">1. Login as Super Admin on https://indore.bestinfra.app
2. Open Dashboard → DTR Overview
3. Confirm period is Daily unless the case changes it
4. Click Total DTRs or DTRs ON
5. Inspect column headers</t>
  </si>
  <si>
    <t>Expected headers include: Circle, Division, Zone, Sub Station, Feeder, DTR, MSN (Power Status may show Status, Last Alarm At; Communication may show Log Date, Status)</t>
  </si>
  <si>
    <t>Grid loads with headers and at least one page of rows when count &gt; 0. No blank grid with a non-zero total. Identity includes DTR and/or MSN.</t>
  </si>
  <si>
    <t>details columns[] headers</t>
  </si>
  <si>
    <t>src/modules/DASHBOARD/tests/dtrpowerstatusdetails.spec.ts / src/modules/DASHBOARD/tests/dtrcommunicationdetails.spec.ts</t>
  </si>
  <si>
    <t>IND-DTO-0070</t>
  </si>
  <si>
    <t>Pagination controls</t>
  </si>
  <si>
    <t>Next page stays inside the same filter</t>
  </si>
  <si>
    <t xml:space="preserve">1. Login as Super Admin on https://indore.bestinfra.app
2. Open Dashboard → DTR Overview
3. Confirm period is Daily unless the case changes it
4. Click DTRs ON
5. Go to page 2 (or last page)
6. Confirm still ON and total unchanged</t>
  </si>
  <si>
    <t>page=2 on DTRs ON drill-down</t>
  </si>
  <si>
    <t>Page 2 still ON only. Total unchanged. S.No. continues. No mix of OFF rows.</t>
  </si>
  <si>
    <t>details?page=2 stays in same filter</t>
  </si>
  <si>
    <t>src/modules/DASHBOARD/tests/dtrpowerstatusdetails.spec.ts</t>
  </si>
  <si>
    <t>IND-DTO-0071</t>
  </si>
  <si>
    <t>In-page Back / breadcrumb</t>
  </si>
  <si>
    <t>In-app back returns to DTR Overview</t>
  </si>
  <si>
    <t xml:space="preserve">1. Login as Super Admin on https://indore.bestinfra.app
2. Open Dashboard → DTR Overview
3. Confirm period is Daily unless the case changes it
4. Click DTRs ON
5. Use in-app Back or breadcrumb Dashboard (not only browser Back)</t>
  </si>
  <si>
    <t>In-app navigation after drill-down</t>
  </si>
  <si>
    <t>Returns to DTR Overview. Widgets reload. Period still Daily.</t>
  </si>
  <si>
    <t>In-app Back / breadcrumb</t>
  </si>
  <si>
    <t>IND-DTO-0072</t>
  </si>
  <si>
    <t>Open record from list</t>
  </si>
  <si>
    <t>A row in related records opens that DTR</t>
  </si>
  <si>
    <t xml:space="preserve">1. Login as Super Admin on https://indore.bestinfra.app
2. Open Dashboard → DTR Overview
3. Confirm period is Daily unless the case changes it
4. From DTRs ON list click a row / eye / DTR id</t>
  </si>
  <si>
    <t>One DTR row</t>
  </si>
  <si>
    <t>Opens that DTR overview/detail. DTR id / MSN matches the list row. Not a dead row.</t>
  </si>
  <si>
    <t>Open DTR row → DTR detail</t>
  </si>
  <si>
    <t>IND-DTO-0073</t>
  </si>
  <si>
    <t>Search on list</t>
  </si>
  <si>
    <t>Search filters the related-records list</t>
  </si>
  <si>
    <t xml:space="preserve">1. Login as Super Admin on https://indore.bestinfra.app
2. Open Dashboard → DTR Overview
3. Confirm period is Daily unless the case changes it
4. Open DTRs ON list
5. If search exists, type a visible DTR id or MSN</t>
  </si>
  <si>
    <t>Search box on related-records list</t>
  </si>
  <si>
    <t>List filters to that record. If no search, Pass with Note.</t>
  </si>
  <si>
    <t>Search on related-records list</t>
  </si>
  <si>
    <t>11. DATA CONSISTENCY (USE LIVE COUNTS)</t>
  </si>
  <si>
    <t>IND-DTO-0074</t>
  </si>
  <si>
    <t>KPI math</t>
  </si>
  <si>
    <t>DTRs ON + DTRs OFF vs Total DTRs</t>
  </si>
  <si>
    <t>ON + OFF equals Total DTRs</t>
  </si>
  <si>
    <t xml:space="preserve">1. Login as Super Admin on https://indore.bestinfra.app
2. Open Dashboard → DTR Overview
3. Confirm period is Daily unless the case changes it
4. Read Total DTRs, DTRs ON, DTRs OFF
5. Add ON + OFF</t>
  </si>
  <si>
    <t>Screenshot baseline 07-Sep-2026 (use live count on screen if different): 1,066 + 0 = 1,066 vs Total 1,201 (gap 135)</t>
  </si>
  <si>
    <t>DTRs ON + DTRs OFF = Total DTRs. Any silent gap is a Fail. Do not add Active Alerts on top of Total. If non-monitorable DTRs exist they must be labelled.</t>
  </si>
  <si>
    <t>Total DTRs 1,201; DTRs ON 1,066; DTRs OFF 0. 1,066 + 0 = 1,066. Gap of 135 with no on-screen label for the missing DTRs. Power Status shows 100% availability for 12 days, which matches OFF = 0 but does not explain the 135.</t>
  </si>
  <si>
    <t>GET /indore/dashboard/dtr/summary totalDtrs / dtrsOn / dtrsOff</t>
  </si>
  <si>
    <t>IND-DTO-0075</t>
  </si>
  <si>
    <t>Communication math</t>
  </si>
  <si>
    <t>Communicating + Non-Communicating vs Total Meters / Total DTRs</t>
  </si>
  <si>
    <t>Communication parts sum to the widget total and relate to the fleet</t>
  </si>
  <si>
    <t xml:space="preserve">1. Login as Super Admin on https://indore.bestinfra.app
2. Open Dashboard → DTR Overview
3. Confirm period is Daily unless the case changes it
4. Add Communicating + Non-Communicating
5. Compare to Total Meters and Total DTRs</t>
  </si>
  <si>
    <t>Screenshot baseline 07-Sep-2026 (use live count on screen if different): 0 + 0 = 0 Total Meters vs Total DTRs 1,201</t>
  </si>
  <si>
    <t>Communicating + Non-Communicating = center Total Meters. Total Meters should match or be a documented subset of Total DTRs. All-zero against a 1,201 fleet is a Fail.</t>
  </si>
  <si>
    <t>Communication Status Total Meters = 0, Communicating = 0 (0.0%), Non-Communicating = 0 (0.0%) while Total DTRs = 1,201. Donut is empty and cannot be used for click-through totals.</t>
  </si>
  <si>
    <t>IND-DTO-0076</t>
  </si>
  <si>
    <t>Load Unbalance math</t>
  </si>
  <si>
    <t>Severe + Moderate + Balanced</t>
  </si>
  <si>
    <t>Load Unbalance parts sum to center total</t>
  </si>
  <si>
    <t xml:space="preserve">1. Login as Super Admin on https://indore.bestinfra.app
2. Open Dashboard → DTR Overview
3. Confirm period is Daily unless the case changes it
4. Add the three bands
5. Compare to center total</t>
  </si>
  <si>
    <t>Screenshot baseline 07-Sep-2026 (use live count on screen if different): Data Unavailable — cannot read counts</t>
  </si>
  <si>
    <t>Severe + Moderate + Balanced = center total. % ≈ 100%. Data Unavailable is a Fail (DEF-DTO-001) because math cannot be proven on UI.</t>
  </si>
  <si>
    <t>IND-DTO-0077</t>
  </si>
  <si>
    <t>Voltage Unbalance math</t>
  </si>
  <si>
    <t>Voltage Unbalance parts sum to center total</t>
  </si>
  <si>
    <t>Screenshot baseline 07-Sep-2026 (use live count on screen if different): Data Unavailable</t>
  </si>
  <si>
    <t>Severe + Moderate + Balanced = center total. % ≈ 100%. Data Unavailable = Fail DEF-DTO-001.</t>
  </si>
  <si>
    <t>IND-DTO-0078</t>
  </si>
  <si>
    <t>Percentage Loading math</t>
  </si>
  <si>
    <t>Four loading bands</t>
  </si>
  <si>
    <t>Loading bands sum to the widget total and do not overlap</t>
  </si>
  <si>
    <t xml:space="preserve">1. Login as Super Admin on https://indore.bestinfra.app
2. Open Dashboard → DTR Overview
3. Confirm period is Daily unless the case changes it
4. Add Critical + High Load + Normal + Under Utilized</t>
  </si>
  <si>
    <t>Four bands sum to loading total. Bands must not overlap. % ≈ 100%. Data Unavailable = Fail DEF-DTO-001.</t>
  </si>
  <si>
    <t>GET /indore/dashboard/dtr/percentage-loading-details?band= all four bands  |  no summary donut API</t>
  </si>
  <si>
    <t>IND-DTO-0079</t>
  </si>
  <si>
    <t>Cross-widget total</t>
  </si>
  <si>
    <t>All widget totals vs Total DTRs</t>
  </si>
  <si>
    <t>Scored-widget totals are consistent with Total DTRs</t>
  </si>
  <si>
    <t xml:space="preserve">1. Login as Super Admin on https://indore.bestinfra.app
2. Open Dashboard → DTR Overview
3. Confirm period is Daily unless the case changes it
4. Compare Total DTRs with Communication Total Meters, Power ON+OFF, Load/Voltage/Loading totals</t>
  </si>
  <si>
    <t>Screenshot baseline 07-Sep-2026 (use live count on screen if different): Total 1,201; Communication 0; ON+OFF 1,066; unbalance/loading unavailable</t>
  </si>
  <si>
    <t>Donuts may be ≤ Total DTRs if only monitorable meters are scored — Pass with Note if every donut uses the SAME smaller total. Fail if donuts disagree with each other or Communication is 0 against a non-zero fleet.</t>
  </si>
  <si>
    <t>cross-widget totals vs summary.totalDtrs</t>
  </si>
  <si>
    <t>IND-DTO-0080</t>
  </si>
  <si>
    <t>Power Status vs KPI</t>
  </si>
  <si>
    <t>Availability bars vs DTRs ON / OFF</t>
  </si>
  <si>
    <t>Power Status matches DTRs ON / DTRs OFF KPIs</t>
  </si>
  <si>
    <t xml:space="preserve">1. Login as Super Admin on https://indore.bestinfra.app
2. Open Dashboard → DTR Overview
3. Confirm period is Daily unless the case changes it
4. Compare Power Status (100% bars) with DTRs ON 1,066 and DTRs OFF 0</t>
  </si>
  <si>
    <t>Screenshot baseline 07-Sep-2026 (use live count on screen if different): 12 × 100% bars; ON 1,066; OFF 0</t>
  </si>
  <si>
    <t>OFF = 0 is consistent with 100% availability bars. ON KPI should match the Power Status ON population if the chart is count-based. A % chart that cannot be reconciled to 1,066 ON vs 1,201 Total is a Fail or Pass with Note only if the subtitle documents % availability (not headcount).</t>
  </si>
  <si>
    <t>GET /indore/dashboard/dtr/power-status last bucket vs GET /indore/dashboard/dtr/summary dtrsOn/dtrsOff</t>
  </si>
  <si>
    <t>src/modules/DASHBOARD/tests/dtrpowerstatus.spec.ts  |  src/modules/DASHBOARD/tests/dtrsummary.spec.ts  |  npm run test:dashboard</t>
  </si>
  <si>
    <t>12. EDGE / NEGATIVE / SMOKE</t>
  </si>
  <si>
    <t>IND-DTO-0081</t>
  </si>
  <si>
    <t>Click-through</t>
  </si>
  <si>
    <t>Double-click DTRs OFF</t>
  </si>
  <si>
    <t>Double-click does not open two lists or break the page</t>
  </si>
  <si>
    <t xml:space="preserve">1. Login as Super Admin on https://indore.bestinfra.app
2. Open Dashboard → DTR Overview
3. Confirm period is Daily unless the case changes it
4. Double-click DTRs OFF quickly</t>
  </si>
  <si>
    <t>Double-click on DTRs OFF card (count 0)</t>
  </si>
  <si>
    <t>One related-records navigation (or single empty list). No duplicate tabs/errors/blank page.</t>
  </si>
  <si>
    <t>IND-DTO-0082</t>
  </si>
  <si>
    <t>Download vs chart body</t>
  </si>
  <si>
    <t>Clicking download is not treated as chart drill-down</t>
  </si>
  <si>
    <t xml:space="preserve">1. Login as Super Admin on https://indore.bestinfra.app
2. Open Dashboard → DTR Overview
3. Confirm period is Daily unless the case changes it
4. Click only the download icon on Power Status (not the bars)
5. Confirm no list navigation
6. Click a bar — that must NOT start a download</t>
  </si>
  <si>
    <t>Hit area: download icon vs Power Status bars (Load Unbalance download is missing on this build)</t>
  </si>
  <si>
    <t>Download click never opens related records. Chart/legend clicks never start a download.</t>
  </si>
  <si>
    <t>IND-DTO-0083</t>
  </si>
  <si>
    <t>Zero count</t>
  </si>
  <si>
    <t>Zero-count KPI / legend</t>
  </si>
  <si>
    <t>Zero-count click does not show unfiltered 1,201 list</t>
  </si>
  <si>
    <t xml:space="preserve">1. Login as Super Admin on https://indore.bestinfra.app
2. Open Dashboard → DTR Overview
3. Confirm period is Daily unless the case changes it
4. Click DTRs OFF (0), Active Alerts (0), Communicating (0), Non-Communicating (0)
5. Read each list total</t>
  </si>
  <si>
    <t>Screenshot baseline 07-Sep-2026 (use live count on screen if different): several live zeros</t>
  </si>
  <si>
    <t>Total on each destination is 0. Showing the full fleet is a Fail.</t>
  </si>
  <si>
    <t>Zero-count details list total=0</t>
  </si>
  <si>
    <t>src/modules/DASHBOARD/tests/dtrcommunicationdetails.spec.ts / src/modules/DASHBOARD/tests/dtrpowerstatusdetails.spec.ts</t>
  </si>
  <si>
    <t>IND-DTO-0084</t>
  </si>
  <si>
    <t>Tiny slice</t>
  </si>
  <si>
    <t>Hard-to-hit donut sliver</t>
  </si>
  <si>
    <t>Legend remains a reliable click target when slice is tiny</t>
  </si>
  <si>
    <t xml:space="preserve">1. Login as Super Admin on https://indore.bestinfra.app
2. Open Dashboard → DTR Overview
3. Confirm period is Daily unless the case changes it
4. If Communication/Loading/Unbalance donuts have a tiny sliver, try it; else use legend
5. Document if sliver is unclickable</t>
  </si>
  <si>
    <t>Screenshot baseline 07-Sep-2026 (use live count on screen if different): Communication donut is empty (total 0); unbalance/loading unavailable</t>
  </si>
  <si>
    <t>Legend row always works even if the sliver is nearly invisible. If no donut exists, Blocked/Fail per DEF-DTO-001/002 rather than skip silently.</t>
  </si>
  <si>
    <t>Tiny donut sliver vs legend</t>
  </si>
  <si>
    <t>IND-DTO-0085</t>
  </si>
  <si>
    <t>Session</t>
  </si>
  <si>
    <t>Click after idle</t>
  </si>
  <si>
    <t>Click still navigates after staying on the page</t>
  </si>
  <si>
    <t xml:space="preserve">1. Login as Super Admin on https://indore.bestinfra.app
2. Open Dashboard → DTR Overview
3. Confirm period is Daily unless the case changes it
4. Wait ~2 minutes on DTR Overview
5. Click DTRs ON card</t>
  </si>
  <si>
    <t>Idle then click</t>
  </si>
  <si>
    <t>Related records still open (or a clear session-expiry login, not a silent dead click).</t>
  </si>
  <si>
    <t>IND-DTO-0086</t>
  </si>
  <si>
    <t>Every widget once (smoke)</t>
  </si>
  <si>
    <t>Smoke: one click per widget reaches related records</t>
  </si>
  <si>
    <t xml:space="preserve">1. Login as Super Admin on https://indore.bestinfra.app
2. Open Dashboard → DTR Overview
3. Confirm period is Daily unless the case changes it
4. Click in order: Total DTRs, DTRs ON, DTRs OFF, Active Alerts, Communication Non-Communicating, Power Status bar, Energy Consumption kWh, Load Unbalance Severe, Voltage Unbalance Severe, Percentage Loading Critical
5. After each click, Back, then next</t>
  </si>
  <si>
    <t>Ten widgets, one click each</t>
  </si>
  <si>
    <t>Each available widget opens a related-records view (empty/0 allowed only when the live count is 0). Data Unavailable widgets are Fail against the onclick rule (DEF-DTO-001), not N/A.</t>
  </si>
  <si>
    <t>Smoke: one click per widget</t>
  </si>
  <si>
    <t>IND-DTO-0087</t>
  </si>
  <si>
    <t>Leftover clickable controls</t>
  </si>
  <si>
    <t>Every remaining clickable count on screen is covered</t>
  </si>
  <si>
    <t xml:space="preserve">1. Login as Super Admin on https://indore.bestinfra.app
2. Open Dashboard → DTR Overview
3. Confirm period is Daily unless the case changes it
4. Scan the page for any count/legend/bar not executed
5. Click it or log it as IND-DTO-X01</t>
  </si>
  <si>
    <t>Live widget map from 0002</t>
  </si>
  <si>
    <t>No leftover dead control. Extra widgets get an X-case. Uncovered clickable count is a Fail.</t>
  </si>
  <si>
    <t>Extra leftover clickable controls</t>
  </si>
  <si>
    <t>Screenshot baseline 07-Sep-2026 — use live UI counts at execution; this sheet is the audit reference</t>
  </si>
  <si>
    <t>KPI</t>
  </si>
  <si>
    <t>MoM text</t>
  </si>
  <si>
    <t>Check</t>
  </si>
  <si>
    <t>No Change vs Yesterday</t>
  </si>
  <si>
    <t>Fleet total</t>
  </si>
  <si>
    <t>Subset</t>
  </si>
  <si>
    <t>Subset — zero</t>
  </si>
  <si>
    <t>Do not add on top of Total</t>
  </si>
  <si>
    <t>DTRs ON + DTRs OFF</t>
  </si>
  <si>
    <t>Must equal Total DTRs (B5)</t>
  </si>
  <si>
    <t>Bucket</t>
  </si>
  <si>
    <t>%</t>
  </si>
  <si>
    <t>Click filter</t>
  </si>
  <si>
    <t>communicated</t>
  </si>
  <si>
    <t>non-communicated</t>
  </si>
  <si>
    <t>Center Total Meters</t>
  </si>
  <si>
    <t>all communication</t>
  </si>
  <si>
    <t>Comm parts sum</t>
  </si>
  <si>
    <t>Must equal center B16; also vs Total DTRs B5</t>
  </si>
  <si>
    <t>Note</t>
  </si>
  <si>
    <t>Daily</t>
  </si>
  <si>
    <t>27 Aug 2026 – 7 Sept 2026 (12 days)</t>
  </si>
  <si>
    <t>Matches Daily control</t>
  </si>
  <si>
    <t>Y-axis</t>
  </si>
  <si>
    <t>DTR Availability (%)</t>
  </si>
  <si>
    <t>Scale −100% to +100%</t>
  </si>
  <si>
    <t>Odd bipolar axis</t>
  </si>
  <si>
    <t>Bars</t>
  </si>
  <si>
    <t>12 × 100%</t>
  </si>
  <si>
    <t>No OFF / negative bars</t>
  </si>
  <si>
    <t>Consistent with DTRs OFF = 0</t>
  </si>
  <si>
    <t>Download</t>
  </si>
  <si>
    <t>Icon present</t>
  </si>
  <si>
    <t>Must export, must not navigate</t>
  </si>
  <si>
    <t>Series</t>
  </si>
  <si>
    <t>Plotted?</t>
  </si>
  <si>
    <t>Legend</t>
  </si>
  <si>
    <t>No (empty chart)</t>
  </si>
  <si>
    <t>Green</t>
  </si>
  <si>
    <t>kind=kwh</t>
  </si>
  <si>
    <t>Blue</t>
  </si>
  <si>
    <t>kind=kvah</t>
  </si>
  <si>
    <t>Orange</t>
  </si>
  <si>
    <t>kind=kvarh</t>
  </si>
  <si>
    <t>Empty plot</t>
  </si>
  <si>
    <t>FAIL</t>
  </si>
  <si>
    <t>Axes 0–1k and 12 days render; no series (DEF-DTO-003)</t>
  </si>
  <si>
    <t>Legend must still drill down</t>
  </si>
  <si>
    <t>Unavailable widgets (DEF-DTO-001)</t>
  </si>
  <si>
    <t>UI state</t>
  </si>
  <si>
    <t>Expected bands</t>
  </si>
  <si>
    <t>API in this repo</t>
  </si>
  <si>
    <t>GET .../percentage-loading-details?band=</t>
  </si>
  <si>
    <t>GET .../load-unbalance + details</t>
  </si>
  <si>
    <t>GET .../voltage-unbalance +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</si>
</sst>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0%"/>
  </numFmts>
  <fonts count="7" x14ac:knownFonts="1">
    <font>
      <color theme="1"/>
      <family val="2"/>
      <scheme val="minor"/>
      <sz val="11"/>
      <name val="Calibri"/>
    </font>
    <font>
      <b/>
      <color rgb="FFFFFFFF"/>
      <sz val="18"/>
    </font>
    <font>
      <color rgb="FF000000"/>
      <sz val="10"/>
    </font>
    <font>
      <b/>
      <color rgb="FFFFFFFF"/>
      <sz val="11"/>
    </font>
    <font>
      <b/>
      <color rgb="FF1F4E78"/>
      <sz val="11"/>
    </font>
    <font>
      <b/>
      <color rgb="FF000000"/>
      <sz val="11"/>
    </font>
    <font>
      <b/>
      <color rgb="FFFFFFFF"/>
      <sz val="16"/>
    </font>
  </fonts>
  <fills count="13">
    <fill>
      <patternFill patternType="none"/>
    </fill>
    <fill>
      <patternFill patternType="gray125"/>
    </fill>
    <fill>
      <patternFill patternType="solid">
        <fgColor rgb="FF1F4E78"/>
      </patternFill>
    </fill>
    <fill>
      <patternFill patternType="solid">
        <fgColor rgb="FFD9E1F2"/>
      </patternFill>
    </fill>
    <fill>
      <patternFill patternType="solid">
        <fgColor rgb="FFFFFFFF"/>
      </patternFill>
    </fill>
    <fill>
      <patternFill patternType="solid">
        <fgColor rgb="FF0F6E6E"/>
      </patternFill>
    </fill>
    <fill>
      <patternFill patternType="solid">
        <fgColor rgb="FFF2F7FB"/>
      </patternFill>
    </fill>
    <fill>
      <patternFill patternType="solid">
        <fgColor rgb="FFFFF2CC"/>
      </patternFill>
    </fill>
    <fill>
      <patternFill patternType="solid">
        <fgColor rgb="FFC6EFCE"/>
      </patternFill>
    </fill>
    <fill>
      <patternFill patternType="solid">
        <fgColor rgb="FFFCE4D6"/>
      </patternFill>
    </fill>
    <fill>
      <patternFill patternType="solid">
        <fgColor rgb="FFF2F2F2"/>
      </patternFill>
    </fill>
    <fill>
      <patternFill patternType="solid">
        <fgColor rgb="FFFFC7CE"/>
      </patternFill>
    </fill>
    <fill>
      <patternFill patternType="solid">
        <fgColor rgb="FF2E75B6"/>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6">
    <xf numFmtId="0" fontId="0" fillId="0" borderId="0" xfId="0"/>
    <xf numFmtId="0" fontId="1" fillId="2" borderId="0" xfId="0" applyFont="1" applyFill="1" applyAlignment="1">
      <alignment horizontal="left" vertical="center"/>
    </xf>
    <xf numFmtId="0" fontId="2" fillId="3" borderId="1" xfId="0" applyFont="1" applyFill="1" applyBorder="1" applyAlignment="1">
      <alignment vertical="center" wrapText="1"/>
    </xf>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2" fillId="4" borderId="1" xfId="0" applyFont="1" applyFill="1" applyBorder="1" applyAlignment="1">
      <alignment vertical="center" wrapText="1"/>
    </xf>
    <xf numFmtId="0" fontId="3" fillId="5" borderId="1" xfId="0" applyFont="1"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5" fillId="8" borderId="1" xfId="0" applyFont="1" applyFill="1" applyBorder="1" applyAlignment="1">
      <alignment vertical="center" wrapText="1"/>
    </xf>
    <xf numFmtId="0" fontId="2" fillId="8" borderId="1" xfId="0" applyFont="1" applyFill="1" applyBorder="1" applyAlignment="1">
      <alignment vertical="center" wrapText="1"/>
    </xf>
    <xf numFmtId="0" fontId="5" fillId="4" borderId="1" xfId="0" applyFont="1" applyFill="1" applyBorder="1" applyAlignment="1">
      <alignment vertical="center" wrapText="1"/>
    </xf>
    <xf numFmtId="0" fontId="5" fillId="9" borderId="1" xfId="0" applyFont="1" applyFill="1" applyBorder="1" applyAlignment="1">
      <alignment vertical="center" wrapText="1"/>
    </xf>
    <xf numFmtId="0" fontId="2" fillId="9" borderId="1" xfId="0" applyFont="1" applyFill="1" applyBorder="1" applyAlignment="1">
      <alignment vertical="center" wrapText="1"/>
    </xf>
    <xf numFmtId="0" fontId="5" fillId="10" borderId="1" xfId="0" applyFont="1" applyFill="1" applyBorder="1" applyAlignment="1">
      <alignment vertical="center" wrapText="1"/>
    </xf>
    <xf numFmtId="0" fontId="2" fillId="10" borderId="1" xfId="0" applyFont="1" applyFill="1" applyBorder="1" applyAlignment="1">
      <alignment vertical="center" wrapText="1"/>
    </xf>
    <xf numFmtId="0" fontId="3" fillId="2"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3" fontId="2" fillId="6" borderId="1" xfId="0" applyNumberFormat="1" applyFont="1" applyFill="1" applyBorder="1" applyAlignment="1">
      <alignment horizontal="right" vertical="center"/>
    </xf>
    <xf numFmtId="3" fontId="2" fillId="4" borderId="1" xfId="0" applyNumberFormat="1" applyFont="1" applyFill="1" applyBorder="1" applyAlignment="1">
      <alignment horizontal="right" vertical="center"/>
    </xf>
    <xf numFmtId="3" fontId="2" fillId="9" borderId="1" xfId="0" applyNumberFormat="1" applyFont="1" applyFill="1" applyBorder="1" applyAlignment="1">
      <alignment horizontal="right" vertical="center"/>
    </xf>
    <xf numFmtId="0" fontId="6" fillId="2" borderId="0" xfId="0" applyFont="1" applyFill="1" applyAlignment="1">
      <alignment vertical="center"/>
    </xf>
    <xf numFmtId="0" fontId="3" fillId="11" borderId="1" xfId="0" applyFont="1" applyFill="1" applyBorder="1" applyAlignment="1">
      <alignment vertical="center" wrapText="1"/>
    </xf>
    <xf numFmtId="0" fontId="5" fillId="7" borderId="1" xfId="0" applyFont="1" applyFill="1" applyBorder="1" applyAlignment="1">
      <alignment horizontal="center" vertical="center"/>
    </xf>
    <xf numFmtId="164" fontId="2" fillId="9" borderId="1" xfId="0" applyNumberFormat="1" applyFont="1" applyFill="1" applyBorder="1" applyAlignment="1">
      <alignment vertical="center" wrapText="1"/>
    </xf>
    <xf numFmtId="0" fontId="3" fillId="12" borderId="1" xfId="0" applyFont="1" applyFill="1" applyBorder="1" applyAlignment="1">
      <alignment vertical="center" wrapText="1"/>
    </xf>
    <xf numFmtId="164" fontId="2" fillId="6" borderId="1" xfId="0" applyNumberFormat="1" applyFont="1" applyFill="1" applyBorder="1" applyAlignment="1">
      <alignment vertical="center" wrapText="1"/>
    </xf>
    <xf numFmtId="164" fontId="2" fillId="4" borderId="1" xfId="0" applyNumberFormat="1" applyFont="1" applyFill="1" applyBorder="1" applyAlignment="1">
      <alignment vertical="center" wrapText="1"/>
    </xf>
    <xf numFmtId="3" fontId="2" fillId="4" borderId="1" xfId="0" applyNumberFormat="1" applyFont="1" applyFill="1" applyBorder="1" applyAlignment="1">
      <alignment vertical="center" wrapText="1"/>
    </xf>
    <xf numFmtId="3" fontId="2" fillId="9" borderId="1" xfId="0" applyNumberFormat="1" applyFont="1" applyFill="1" applyBorder="1" applyAlignment="1">
      <alignment vertical="center" wrapText="1"/>
    </xf>
    <xf numFmtId="0" fontId="2" fillId="11" borderId="1" xfId="0" applyFont="1" applyFill="1" applyBorder="1" applyAlignment="1">
      <alignment vertical="center" wrapText="1"/>
    </xf>
    <xf numFmtId="3" fontId="2" fillId="11" borderId="1" xfId="0" applyNumberFormat="1" applyFont="1" applyFill="1" applyBorder="1" applyAlignment="1">
      <alignment vertical="center" wrapText="1"/>
    </xf>
    <xf numFmtId="165" fontId="2" fillId="9" borderId="1" xfId="0" applyNumberFormat="1" applyFont="1" applyFill="1" applyBorder="1" applyAlignment="1">
      <alignment vertical="center" wrapText="1"/>
    </xf>
  </cellXfs>
  <cellStyles count="1">
    <cellStyle name="Normal" xfId="0" builtinId="0"/>
  </cellStyles>
  <dxfs count="20">
    <dxf>
      <fill>
        <patternFill patternType="solid">
          <bgColor rgb="FFC6EFCE"/>
        </patternFill>
      </fill>
    </dxf>
    <dxf>
      <fill>
        <patternFill patternType="solid">
          <bgColor rgb="FFFCE4D6"/>
        </patternFill>
      </fill>
    </dxf>
    <dxf>
      <fill>
        <patternFill patternType="solid">
          <bgColor rgb="FFFFF2CC"/>
        </patternFill>
      </fill>
    </dxf>
    <dxf>
      <fill>
        <patternFill patternType="solid">
          <bgColor rgb="FFC6EFCE"/>
        </patternFill>
      </fill>
    </dxf>
    <dxf>
      <fill>
        <patternFill patternType="solid">
          <bgColor rgb="FFD9E1F2"/>
        </patternFill>
      </fill>
    </dxf>
    <dxf>
      <fill>
        <patternFill patternType="solid">
          <bgColor rgb="FFFFC7CE"/>
        </patternFill>
      </fill>
    </dxf>
    <dxf>
      <fill>
        <patternFill patternType="solid">
          <bgColor rgb="FFFCE4D6"/>
        </patternFill>
      </fill>
    </dxf>
    <dxf>
      <fill>
        <patternFill patternType="solid">
          <bgColor rgb="FFFFF2CC"/>
        </patternFill>
      </fill>
    </dxf>
    <dxf>
      <fill>
        <patternFill patternType="solid">
          <bgColor rgb="FFC6EFCE"/>
        </patternFill>
      </fill>
    </dxf>
    <dxf>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ill>
        <patternFill patternType="solid">
          <bgColor rgb="FFFCE4D6"/>
        </patternFill>
      </fill>
    </dxf>
    <dxf>
      <fill>
        <patternFill patternType="solid">
          <bgColor rgb="FFF2F2F2"/>
        </patternFill>
      </fill>
    </dxf>
    <dxf>
      <fill>
        <patternFill patternType="solid">
          <bgColor rgb="FFFFC7CE"/>
        </patternFill>
      </fill>
    </dxf>
    <dxf>
      <fill>
        <patternFill patternType="solid">
          <bgColor rgb="FFC6EFCE"/>
        </patternFill>
      </fill>
    </dxf>
    <dxf>
      <fill>
        <patternFill patternType="solid">
          <bgColor rgb="FFFFF2CC"/>
        </patternFill>
      </fill>
    </dxf>
    <dxf>
      <fill>
        <patternFill patternType="solid">
          <bgColor rgb="FFFCE4D6"/>
        </patternFill>
      </fill>
    </dxf>
    <dxf>
      <fill>
        <patternFill patternType="solid">
          <bgColor rgb="FFF2F2F2"/>
        </patternFill>
      </fill>
    </dxf>
    <dxf>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workbookViewId="0" showGridLines="0"/>
  </sheetViews>
  <sheetFormatPr defaultRowHeight="15" outlineLevelRow="0" outlineLevelCol="0" x14ac:dyDescent="55"/>
  <cols>
    <col min="1" max="1" width="28" customWidth="1"/>
    <col min="2" max="2" width="22" customWidth="1"/>
    <col min="3" max="7" width="18" customWidth="1"/>
  </cols>
  <sheetData>
    <row r="1" ht="32" customHeight="1" spans="1:7" x14ac:dyDescent="0.25">
      <c r="A1" s="1" t="s">
        <v>0</v>
      </c>
      <c r="B1" s="1"/>
      <c r="C1" s="1"/>
      <c r="D1" s="1"/>
      <c r="E1" s="1"/>
      <c r="F1" s="1"/>
      <c r="G1" s="1"/>
    </row>
    <row r="2" ht="22" customHeight="1" spans="1:7" x14ac:dyDescent="0.25">
      <c r="A2" s="2" t="s">
        <v>1</v>
      </c>
      <c r="B2" s="2"/>
      <c r="C2" s="2"/>
      <c r="D2" s="2"/>
      <c r="E2" s="2"/>
      <c r="F2" s="2"/>
      <c r="G2" s="2"/>
    </row>
    <row r="4" ht="22" customHeight="1" spans="1:7" x14ac:dyDescent="0.25">
      <c r="A4" s="3" t="s">
        <v>2</v>
      </c>
      <c r="B4" s="3" t="s">
        <v>3</v>
      </c>
      <c r="C4" s="3"/>
      <c r="D4" s="3"/>
      <c r="E4" s="3"/>
      <c r="F4" s="3"/>
      <c r="G4" s="3"/>
    </row>
    <row r="5" ht="36" customHeight="1" spans="1:7" x14ac:dyDescent="0.25">
      <c r="A5" s="4" t="s">
        <v>4</v>
      </c>
      <c r="B5" s="5" t="s">
        <v>5</v>
      </c>
      <c r="C5" s="5"/>
      <c r="D5" s="5"/>
      <c r="E5" s="5"/>
      <c r="F5" s="5"/>
      <c r="G5" s="5"/>
    </row>
    <row r="6" ht="36" customHeight="1" spans="1:7" x14ac:dyDescent="0.25">
      <c r="A6" s="4" t="s">
        <v>6</v>
      </c>
      <c r="B6" s="5" t="s">
        <v>7</v>
      </c>
      <c r="C6" s="5"/>
      <c r="D6" s="5"/>
      <c r="E6" s="5"/>
      <c r="F6" s="5"/>
      <c r="G6" s="5"/>
    </row>
    <row r="7" ht="36" customHeight="1" spans="1:7" x14ac:dyDescent="0.25">
      <c r="A7" s="4" t="s">
        <v>8</v>
      </c>
      <c r="B7" s="5" t="s">
        <v>9</v>
      </c>
      <c r="C7" s="5"/>
      <c r="D7" s="5"/>
      <c r="E7" s="5"/>
      <c r="F7" s="5"/>
      <c r="G7" s="5"/>
    </row>
    <row r="8" ht="36" customHeight="1" spans="1:7" x14ac:dyDescent="0.25">
      <c r="A8" s="4" t="s">
        <v>10</v>
      </c>
      <c r="B8" s="5" t="s">
        <v>11</v>
      </c>
      <c r="C8" s="5"/>
      <c r="D8" s="5"/>
      <c r="E8" s="5"/>
      <c r="F8" s="5"/>
      <c r="G8" s="5"/>
    </row>
    <row r="9" ht="36" customHeight="1" spans="1:7" x14ac:dyDescent="0.25">
      <c r="A9" s="4" t="s">
        <v>12</v>
      </c>
      <c r="B9" s="5" t="s">
        <v>13</v>
      </c>
      <c r="C9" s="5"/>
      <c r="D9" s="5"/>
      <c r="E9" s="5"/>
      <c r="F9" s="5"/>
      <c r="G9" s="5"/>
    </row>
    <row r="10" ht="36" customHeight="1" spans="1:7" x14ac:dyDescent="0.25">
      <c r="A10" s="4" t="s">
        <v>14</v>
      </c>
      <c r="B10" s="5">
        <v>87</v>
      </c>
      <c r="C10" s="5"/>
      <c r="D10" s="5"/>
      <c r="E10" s="5"/>
      <c r="F10" s="5"/>
      <c r="G10" s="5"/>
    </row>
    <row r="11" ht="36" customHeight="1" spans="1:7" x14ac:dyDescent="0.25">
      <c r="A11" s="4" t="s">
        <v>15</v>
      </c>
      <c r="B11" s="5" t="s">
        <v>16</v>
      </c>
      <c r="C11" s="5"/>
      <c r="D11" s="5"/>
      <c r="E11" s="5"/>
      <c r="F11" s="5"/>
      <c r="G11" s="5"/>
    </row>
    <row r="12" ht="36" customHeight="1" spans="1:7" x14ac:dyDescent="0.25">
      <c r="A12" s="4" t="s">
        <v>17</v>
      </c>
      <c r="B12" s="5" t="s">
        <v>18</v>
      </c>
      <c r="C12" s="5"/>
      <c r="D12" s="5"/>
      <c r="E12" s="5"/>
      <c r="F12" s="5"/>
      <c r="G12" s="5"/>
    </row>
    <row r="13" ht="36" customHeight="1" spans="1:7" x14ac:dyDescent="0.25">
      <c r="A13" s="4" t="s">
        <v>19</v>
      </c>
      <c r="B13" s="5" t="s">
        <v>20</v>
      </c>
      <c r="C13" s="5"/>
      <c r="D13" s="5"/>
      <c r="E13" s="5"/>
      <c r="F13" s="5"/>
      <c r="G13" s="5"/>
    </row>
    <row r="14" ht="36" customHeight="1" spans="1:7" x14ac:dyDescent="0.25">
      <c r="A14" s="4" t="s">
        <v>21</v>
      </c>
      <c r="B14" s="5" t="s">
        <v>22</v>
      </c>
      <c r="C14" s="5"/>
      <c r="D14" s="5"/>
      <c r="E14" s="5"/>
      <c r="F14" s="5"/>
      <c r="G14" s="5"/>
    </row>
    <row r="16" ht="22" customHeight="1" spans="1:7" x14ac:dyDescent="0.25">
      <c r="A16" s="6" t="s">
        <v>23</v>
      </c>
      <c r="B16" s="6"/>
      <c r="C16" s="6"/>
      <c r="D16" s="6"/>
      <c r="E16" s="6"/>
      <c r="F16" s="6"/>
      <c r="G16" s="6"/>
    </row>
    <row r="17" ht="28" customHeight="1" spans="1:7" x14ac:dyDescent="0.25">
      <c r="A17" s="7" t="s">
        <v>24</v>
      </c>
      <c r="B17" s="7"/>
      <c r="C17" s="7"/>
      <c r="D17" s="7"/>
      <c r="E17" s="7"/>
      <c r="F17" s="7"/>
      <c r="G17" s="7"/>
    </row>
    <row r="18" ht="28" customHeight="1" spans="1:7" x14ac:dyDescent="0.25">
      <c r="A18" s="5" t="s">
        <v>25</v>
      </c>
      <c r="B18" s="5"/>
      <c r="C18" s="5"/>
      <c r="D18" s="5"/>
      <c r="E18" s="5"/>
      <c r="F18" s="5"/>
      <c r="G18" s="5"/>
    </row>
    <row r="19" ht="28" customHeight="1" spans="1:7" x14ac:dyDescent="0.25">
      <c r="A19" s="7" t="s">
        <v>26</v>
      </c>
      <c r="B19" s="7"/>
      <c r="C19" s="7"/>
      <c r="D19" s="7"/>
      <c r="E19" s="7"/>
      <c r="F19" s="7"/>
      <c r="G19" s="7"/>
    </row>
    <row r="20" ht="28" customHeight="1" spans="1:7" x14ac:dyDescent="0.25">
      <c r="A20" s="5" t="s">
        <v>27</v>
      </c>
      <c r="B20" s="5"/>
      <c r="C20" s="5"/>
      <c r="D20" s="5"/>
      <c r="E20" s="5"/>
      <c r="F20" s="5"/>
      <c r="G20" s="5"/>
    </row>
    <row r="21" ht="28" customHeight="1" spans="1:7" x14ac:dyDescent="0.25">
      <c r="A21" s="7" t="s">
        <v>28</v>
      </c>
      <c r="B21" s="7"/>
      <c r="C21" s="7"/>
      <c r="D21" s="7"/>
      <c r="E21" s="7"/>
      <c r="F21" s="7"/>
      <c r="G21" s="7"/>
    </row>
    <row r="22" ht="28" customHeight="1" spans="1:7" x14ac:dyDescent="0.25">
      <c r="A22" s="5" t="s">
        <v>29</v>
      </c>
      <c r="B22" s="5"/>
      <c r="C22" s="5"/>
      <c r="D22" s="5"/>
      <c r="E22" s="5"/>
      <c r="F22" s="5"/>
      <c r="G22" s="5"/>
    </row>
    <row r="23" ht="28" customHeight="1" spans="1:7" x14ac:dyDescent="0.25">
      <c r="A23" s="7" t="s">
        <v>30</v>
      </c>
      <c r="B23" s="7"/>
      <c r="C23" s="7"/>
      <c r="D23" s="7"/>
      <c r="E23" s="7"/>
      <c r="F23" s="7"/>
      <c r="G23" s="7"/>
    </row>
    <row r="24" ht="28" customHeight="1" spans="1:7" x14ac:dyDescent="0.25">
      <c r="A24" s="5" t="s">
        <v>31</v>
      </c>
      <c r="B24" s="5"/>
      <c r="C24" s="5"/>
      <c r="D24" s="5"/>
      <c r="E24" s="5"/>
      <c r="F24" s="5"/>
      <c r="G24" s="5"/>
    </row>
    <row r="26" spans="1:7" x14ac:dyDescent="0.25">
      <c r="A26" s="6" t="s">
        <v>32</v>
      </c>
      <c r="B26" s="6"/>
      <c r="C26" s="6"/>
      <c r="D26" s="6"/>
      <c r="E26" s="6"/>
      <c r="F26" s="6"/>
      <c r="G26" s="6"/>
    </row>
    <row r="27" ht="22" customHeight="1" spans="1:7" x14ac:dyDescent="0.25">
      <c r="A27" s="3" t="s">
        <v>33</v>
      </c>
      <c r="B27" s="3" t="s">
        <v>34</v>
      </c>
      <c r="C27" s="3" t="s">
        <v>35</v>
      </c>
      <c r="D27" s="3"/>
      <c r="E27" s="3"/>
      <c r="F27" s="3"/>
      <c r="G27" s="3"/>
    </row>
    <row r="28" ht="22" customHeight="1" spans="1:7" x14ac:dyDescent="0.25">
      <c r="A28" s="5" t="s">
        <v>36</v>
      </c>
      <c r="B28" s="5" t="s">
        <v>37</v>
      </c>
      <c r="C28" s="5" t="s">
        <v>38</v>
      </c>
      <c r="D28" s="5"/>
      <c r="E28" s="5"/>
      <c r="F28" s="5"/>
      <c r="G28" s="5"/>
    </row>
    <row r="29" ht="22" customHeight="1" spans="1:7" x14ac:dyDescent="0.25">
      <c r="A29" s="7" t="s">
        <v>39</v>
      </c>
      <c r="B29" s="7" t="s">
        <v>37</v>
      </c>
      <c r="C29" s="7" t="s">
        <v>40</v>
      </c>
      <c r="D29" s="7"/>
      <c r="E29" s="7"/>
      <c r="F29" s="7"/>
      <c r="G29" s="7"/>
    </row>
    <row r="30" ht="22" customHeight="1" spans="1:7" x14ac:dyDescent="0.25">
      <c r="A30" s="5" t="s">
        <v>41</v>
      </c>
      <c r="B30" s="5" t="s">
        <v>37</v>
      </c>
      <c r="C30" s="5" t="s">
        <v>42</v>
      </c>
      <c r="D30" s="5"/>
      <c r="E30" s="5"/>
      <c r="F30" s="5"/>
      <c r="G30" s="5"/>
    </row>
    <row r="31" ht="22" customHeight="1" spans="1:7" x14ac:dyDescent="0.25">
      <c r="A31" s="7" t="s">
        <v>43</v>
      </c>
      <c r="B31" s="7" t="s">
        <v>37</v>
      </c>
      <c r="C31" s="7" t="s">
        <v>44</v>
      </c>
      <c r="D31" s="7"/>
      <c r="E31" s="7"/>
      <c r="F31" s="7"/>
      <c r="G31" s="7"/>
    </row>
    <row r="32" ht="22" customHeight="1" spans="1:7" x14ac:dyDescent="0.25">
      <c r="A32" s="5" t="s">
        <v>45</v>
      </c>
      <c r="B32" s="5" t="s">
        <v>46</v>
      </c>
      <c r="C32" s="5" t="s">
        <v>47</v>
      </c>
      <c r="D32" s="5"/>
      <c r="E32" s="5"/>
      <c r="F32" s="5"/>
      <c r="G32" s="5"/>
    </row>
    <row r="33" ht="22" customHeight="1" spans="1:7" x14ac:dyDescent="0.25">
      <c r="A33" s="7" t="s">
        <v>48</v>
      </c>
      <c r="B33" s="7" t="s">
        <v>49</v>
      </c>
      <c r="C33" s="7" t="s">
        <v>50</v>
      </c>
      <c r="D33" s="7"/>
      <c r="E33" s="7"/>
      <c r="F33" s="7"/>
      <c r="G33" s="7"/>
    </row>
    <row r="34" ht="22" customHeight="1" spans="1:7" x14ac:dyDescent="0.25">
      <c r="A34" s="5" t="s">
        <v>51</v>
      </c>
      <c r="B34" s="5" t="s">
        <v>52</v>
      </c>
      <c r="C34" s="5" t="s">
        <v>53</v>
      </c>
      <c r="D34" s="5"/>
      <c r="E34" s="5"/>
      <c r="F34" s="5"/>
      <c r="G34" s="5"/>
    </row>
    <row r="35" ht="22" customHeight="1" spans="1:7" x14ac:dyDescent="0.25">
      <c r="A35" s="7" t="s">
        <v>54</v>
      </c>
      <c r="B35" s="7" t="s">
        <v>55</v>
      </c>
      <c r="C35" s="7" t="s">
        <v>56</v>
      </c>
      <c r="D35" s="7"/>
      <c r="E35" s="7"/>
      <c r="F35" s="7"/>
      <c r="G35" s="7"/>
    </row>
    <row r="36" ht="22" customHeight="1" spans="1:7" x14ac:dyDescent="0.25">
      <c r="A36" s="5" t="s">
        <v>57</v>
      </c>
      <c r="B36" s="5" t="s">
        <v>58</v>
      </c>
      <c r="C36" s="5" t="s">
        <v>59</v>
      </c>
      <c r="D36" s="5"/>
      <c r="E36" s="5"/>
      <c r="F36" s="5"/>
      <c r="G36" s="5"/>
    </row>
    <row r="37" ht="22" customHeight="1" spans="1:7" x14ac:dyDescent="0.25">
      <c r="A37" s="7" t="s">
        <v>60</v>
      </c>
      <c r="B37" s="7" t="s">
        <v>58</v>
      </c>
      <c r="C37" s="7" t="s">
        <v>59</v>
      </c>
      <c r="D37" s="7"/>
      <c r="E37" s="7"/>
      <c r="F37" s="7"/>
      <c r="G37" s="7"/>
    </row>
  </sheetData>
  <mergeCells count="34">
    <mergeCell ref="A1:G1"/>
    <mergeCell ref="A2:G2"/>
    <mergeCell ref="B4:G4"/>
    <mergeCell ref="B5:G5"/>
    <mergeCell ref="B6:G6"/>
    <mergeCell ref="B7:G7"/>
    <mergeCell ref="B8:G8"/>
    <mergeCell ref="B9:G9"/>
    <mergeCell ref="B10:G10"/>
    <mergeCell ref="B11:G11"/>
    <mergeCell ref="B12:G12"/>
    <mergeCell ref="B13:G13"/>
    <mergeCell ref="B14:G14"/>
    <mergeCell ref="A16:G16"/>
    <mergeCell ref="A17:G17"/>
    <mergeCell ref="A18:G18"/>
    <mergeCell ref="A19:G19"/>
    <mergeCell ref="A20:G20"/>
    <mergeCell ref="A21:G21"/>
    <mergeCell ref="A22:G22"/>
    <mergeCell ref="A23:G23"/>
    <mergeCell ref="A24:G24"/>
    <mergeCell ref="A26:G26"/>
    <mergeCell ref="C27:G27"/>
    <mergeCell ref="C28:G28"/>
    <mergeCell ref="C29:G29"/>
    <mergeCell ref="C30:G30"/>
    <mergeCell ref="C31:G31"/>
    <mergeCell ref="C32:G32"/>
    <mergeCell ref="C33:G33"/>
    <mergeCell ref="C34:G34"/>
    <mergeCell ref="C35:G35"/>
    <mergeCell ref="C36:G36"/>
    <mergeCell ref="C37:G37"/>
  </mergeCells>
  <pageMargins left="0.7" right="0.7" top="0.75" bottom="0.75" header="0.3" footer="0.3"/>
  <pageSetup orientation="landscape"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8"/>
  <sheetViews>
    <sheetView workbookViewId="0" showGridLines="0">
      <pane ySplit="6" topLeftCell="A7" activePane="bottomLeft" state="frozen"/>
      <selection pane="bottomLeft"/>
    </sheetView>
  </sheetViews>
  <sheetFormatPr defaultRowHeight="15" outlineLevelRow="0" outlineLevelCol="0" x14ac:dyDescent="55"/>
  <cols>
    <col min="1" max="1" width="42" customWidth="1"/>
    <col min="2" max="2" width="28" customWidth="1"/>
    <col min="3" max="3" width="42" customWidth="1"/>
    <col min="4" max="4" width="48" customWidth="1"/>
    <col min="5" max="5" width="42" customWidth="1"/>
    <col min="6" max="6" width="22" customWidth="1"/>
    <col min="7" max="7" width="52" customWidth="1"/>
  </cols>
  <sheetData>
    <row r="1" ht="28" customHeight="1" spans="1:7" x14ac:dyDescent="0.25">
      <c r="A1" s="3" t="s">
        <v>61</v>
      </c>
      <c r="B1" s="3"/>
      <c r="C1" s="3"/>
      <c r="D1" s="3"/>
      <c r="E1" s="3"/>
      <c r="F1" s="3"/>
      <c r="G1" s="3"/>
    </row>
    <row r="2" ht="36" customHeight="1" spans="1:7" x14ac:dyDescent="0.25">
      <c r="A2" s="8" t="s">
        <v>62</v>
      </c>
      <c r="B2" s="8"/>
      <c r="C2" s="8"/>
      <c r="D2" s="8"/>
      <c r="E2" s="8"/>
      <c r="F2" s="8"/>
      <c r="G2" s="8"/>
    </row>
    <row r="4" spans="1:5" x14ac:dyDescent="0.25">
      <c r="A4" s="6" t="s">
        <v>63</v>
      </c>
      <c r="B4" s="6"/>
      <c r="C4" s="6"/>
      <c r="D4" s="6"/>
      <c r="E4" s="6"/>
    </row>
    <row r="5" ht="22" customHeight="1" spans="1:7" x14ac:dyDescent="0.25">
      <c r="A5" s="3" t="s">
        <v>64</v>
      </c>
      <c r="B5" s="3" t="s">
        <v>65</v>
      </c>
      <c r="C5" s="3" t="s">
        <v>66</v>
      </c>
      <c r="D5" s="3"/>
      <c r="E5" s="3"/>
      <c r="F5" s="3"/>
      <c r="G5" s="3"/>
    </row>
    <row r="6" ht="22" customHeight="1" spans="1:7" x14ac:dyDescent="0.25">
      <c r="A6" s="9" t="s">
        <v>67</v>
      </c>
      <c r="B6" s="10">
        <f>COUNTIF('TEST-CASES'!M8:M250,"Automated (API)")</f>
      </c>
      <c r="C6" s="10" t="s">
        <v>68</v>
      </c>
      <c r="D6" s="10"/>
      <c r="E6" s="10"/>
      <c r="F6" s="10"/>
      <c r="G6" s="10"/>
    </row>
    <row r="7" ht="22" customHeight="1" spans="1:7" x14ac:dyDescent="0.25">
      <c r="A7" s="11" t="s">
        <v>69</v>
      </c>
      <c r="B7" s="5">
        <f>COUNTIF('TEST-CASES'!M8:M250,"Partial")</f>
      </c>
      <c r="C7" s="5" t="s">
        <v>70</v>
      </c>
      <c r="D7" s="5"/>
      <c r="E7" s="5"/>
      <c r="F7" s="5"/>
      <c r="G7" s="5"/>
    </row>
    <row r="8" ht="22" customHeight="1" spans="1:7" x14ac:dyDescent="0.25">
      <c r="A8" s="12" t="s">
        <v>71</v>
      </c>
      <c r="B8" s="13">
        <f>COUNTIF('TEST-CASES'!M8:M250,"Gap (API)")</f>
      </c>
      <c r="C8" s="13" t="s">
        <v>72</v>
      </c>
      <c r="D8" s="13"/>
      <c r="E8" s="13"/>
      <c r="F8" s="13"/>
      <c r="G8" s="13"/>
    </row>
    <row r="9" ht="22" customHeight="1" spans="1:7" x14ac:dyDescent="0.25">
      <c r="A9" s="14" t="s">
        <v>73</v>
      </c>
      <c r="B9" s="15">
        <f>COUNTIF('TEST-CASES'!M8:M250,"Gap (UI)")</f>
      </c>
      <c r="C9" s="15" t="s">
        <v>74</v>
      </c>
      <c r="D9" s="15"/>
      <c r="E9" s="15"/>
      <c r="F9" s="15"/>
      <c r="G9" s="15"/>
    </row>
    <row r="10" ht="22" customHeight="1" spans="1:7" x14ac:dyDescent="0.25">
      <c r="A10" s="11" t="s">
        <v>75</v>
      </c>
      <c r="B10" s="5">
        <f>B6+B7+B8+B9</f>
      </c>
      <c r="C10" s="5" t="s">
        <v>76</v>
      </c>
      <c r="D10" s="5"/>
      <c r="E10" s="5"/>
      <c r="F10" s="5"/>
      <c r="G10" s="5"/>
    </row>
    <row r="13" spans="1:7" x14ac:dyDescent="0.25">
      <c r="A13" s="6" t="s">
        <v>77</v>
      </c>
      <c r="B13" s="6"/>
      <c r="C13" s="6"/>
      <c r="D13" s="6"/>
      <c r="E13" s="6"/>
      <c r="F13" s="6"/>
      <c r="G13" s="6"/>
    </row>
    <row r="14" ht="28" customHeight="1" spans="1:7" x14ac:dyDescent="0.25">
      <c r="A14" s="16" t="s">
        <v>33</v>
      </c>
      <c r="B14" s="16" t="s">
        <v>78</v>
      </c>
      <c r="C14" s="16" t="s">
        <v>79</v>
      </c>
      <c r="D14" s="16" t="s">
        <v>80</v>
      </c>
      <c r="E14" s="16" t="s">
        <v>81</v>
      </c>
      <c r="F14" s="16" t="s">
        <v>82</v>
      </c>
      <c r="G14" s="16" t="s">
        <v>83</v>
      </c>
    </row>
    <row r="15" ht="48" customHeight="1" spans="1:7" x14ac:dyDescent="0.25">
      <c r="A15" s="7" t="s">
        <v>84</v>
      </c>
      <c r="B15" s="7" t="s">
        <v>85</v>
      </c>
      <c r="C15" s="7" t="s">
        <v>86</v>
      </c>
      <c r="D15" s="7" t="s">
        <v>87</v>
      </c>
      <c r="E15" s="7" t="s">
        <v>88</v>
      </c>
      <c r="F15" s="7" t="s">
        <v>69</v>
      </c>
      <c r="G15" s="7" t="s">
        <v>89</v>
      </c>
    </row>
    <row r="16" ht="48" customHeight="1" spans="1:7" x14ac:dyDescent="0.25">
      <c r="A16" s="5" t="s">
        <v>45</v>
      </c>
      <c r="B16" s="5" t="s">
        <v>90</v>
      </c>
      <c r="C16" s="5" t="s">
        <v>91</v>
      </c>
      <c r="D16" s="5" t="s">
        <v>92</v>
      </c>
      <c r="E16" s="5" t="s">
        <v>93</v>
      </c>
      <c r="F16" s="5" t="s">
        <v>69</v>
      </c>
      <c r="G16" s="5" t="s">
        <v>94</v>
      </c>
    </row>
    <row r="17" ht="48" customHeight="1" spans="1:7" x14ac:dyDescent="0.25">
      <c r="A17" s="7" t="s">
        <v>48</v>
      </c>
      <c r="B17" s="7" t="s">
        <v>95</v>
      </c>
      <c r="C17" s="7" t="s">
        <v>96</v>
      </c>
      <c r="D17" s="7" t="s">
        <v>97</v>
      </c>
      <c r="E17" s="7" t="s">
        <v>98</v>
      </c>
      <c r="F17" s="7" t="s">
        <v>69</v>
      </c>
      <c r="G17" s="7" t="s">
        <v>99</v>
      </c>
    </row>
    <row r="18" ht="48" customHeight="1" spans="1:7" x14ac:dyDescent="0.25">
      <c r="A18" s="5" t="s">
        <v>51</v>
      </c>
      <c r="B18" s="5" t="s">
        <v>100</v>
      </c>
      <c r="C18" s="5" t="s">
        <v>101</v>
      </c>
      <c r="D18" s="5" t="s">
        <v>102</v>
      </c>
      <c r="E18" s="5" t="s">
        <v>103</v>
      </c>
      <c r="F18" s="5" t="s">
        <v>69</v>
      </c>
      <c r="G18" s="5" t="s">
        <v>104</v>
      </c>
    </row>
    <row r="19" ht="48" customHeight="1" spans="1:7" x14ac:dyDescent="0.25">
      <c r="A19" s="7" t="s">
        <v>57</v>
      </c>
      <c r="B19" s="7" t="s">
        <v>105</v>
      </c>
      <c r="C19" s="7" t="s">
        <v>106</v>
      </c>
      <c r="D19" s="7" t="s">
        <v>107</v>
      </c>
      <c r="E19" s="7" t="s">
        <v>108</v>
      </c>
      <c r="F19" s="7" t="s">
        <v>69</v>
      </c>
      <c r="G19" s="7" t="s">
        <v>109</v>
      </c>
    </row>
    <row r="20" ht="48" customHeight="1" spans="1:7" x14ac:dyDescent="0.25">
      <c r="A20" s="5" t="s">
        <v>60</v>
      </c>
      <c r="B20" s="5" t="s">
        <v>105</v>
      </c>
      <c r="C20" s="5" t="s">
        <v>110</v>
      </c>
      <c r="D20" s="5" t="s">
        <v>111</v>
      </c>
      <c r="E20" s="5" t="s">
        <v>112</v>
      </c>
      <c r="F20" s="5" t="s">
        <v>69</v>
      </c>
      <c r="G20" s="5" t="s">
        <v>113</v>
      </c>
    </row>
    <row r="21" ht="48" customHeight="1" spans="1:7" x14ac:dyDescent="0.25">
      <c r="A21" s="7" t="s">
        <v>54</v>
      </c>
      <c r="B21" s="7" t="s">
        <v>114</v>
      </c>
      <c r="C21" s="7" t="s">
        <v>115</v>
      </c>
      <c r="D21" s="7" t="s">
        <v>116</v>
      </c>
      <c r="E21" s="7" t="s">
        <v>117</v>
      </c>
      <c r="F21" s="7" t="s">
        <v>118</v>
      </c>
      <c r="G21" s="7" t="s">
        <v>119</v>
      </c>
    </row>
    <row r="24" spans="1:7" x14ac:dyDescent="0.25">
      <c r="A24" s="6" t="s">
        <v>120</v>
      </c>
      <c r="B24" s="6"/>
      <c r="C24" s="6"/>
      <c r="D24" s="6"/>
      <c r="E24" s="6"/>
      <c r="F24" s="6"/>
      <c r="G24" s="6"/>
    </row>
    <row r="25" spans="1:5" x14ac:dyDescent="0.25">
      <c r="A25" s="3" t="s">
        <v>121</v>
      </c>
      <c r="B25" s="3" t="s">
        <v>122</v>
      </c>
      <c r="C25" s="3" t="s">
        <v>123</v>
      </c>
      <c r="D25" s="3" t="s">
        <v>124</v>
      </c>
      <c r="E25" s="3" t="s">
        <v>125</v>
      </c>
    </row>
    <row r="26" ht="28" customHeight="1" spans="1:7" x14ac:dyDescent="0.25">
      <c r="A26" s="7" t="s">
        <v>126</v>
      </c>
      <c r="B26" s="7" t="s">
        <v>86</v>
      </c>
      <c r="C26" s="7" t="s">
        <v>127</v>
      </c>
      <c r="D26" s="7" t="s">
        <v>128</v>
      </c>
      <c r="E26" s="7" t="s">
        <v>129</v>
      </c>
      <c r="F26" s="7"/>
      <c r="G26" s="7"/>
    </row>
    <row r="27" ht="28" customHeight="1" spans="1:7" x14ac:dyDescent="0.25">
      <c r="A27" s="5" t="s">
        <v>130</v>
      </c>
      <c r="B27" s="5" t="s">
        <v>91</v>
      </c>
      <c r="C27" s="5" t="s">
        <v>131</v>
      </c>
      <c r="D27" s="5" t="s">
        <v>132</v>
      </c>
      <c r="E27" s="5" t="s">
        <v>129</v>
      </c>
      <c r="F27" s="5"/>
      <c r="G27" s="5"/>
    </row>
    <row r="28" ht="28" customHeight="1" spans="1:7" x14ac:dyDescent="0.25">
      <c r="A28" s="7" t="s">
        <v>133</v>
      </c>
      <c r="B28" s="7" t="s">
        <v>92</v>
      </c>
      <c r="C28" s="7" t="s">
        <v>134</v>
      </c>
      <c r="D28" s="7" t="s">
        <v>135</v>
      </c>
      <c r="E28" s="7" t="s">
        <v>129</v>
      </c>
      <c r="F28" s="7"/>
      <c r="G28" s="7"/>
    </row>
    <row r="29" ht="28" customHeight="1" spans="1:7" x14ac:dyDescent="0.25">
      <c r="A29" s="5" t="s">
        <v>136</v>
      </c>
      <c r="B29" s="5" t="s">
        <v>96</v>
      </c>
      <c r="C29" s="5" t="s">
        <v>137</v>
      </c>
      <c r="D29" s="5" t="s">
        <v>138</v>
      </c>
      <c r="E29" s="5" t="s">
        <v>129</v>
      </c>
      <c r="F29" s="5"/>
      <c r="G29" s="5"/>
    </row>
    <row r="30" ht="28" customHeight="1" spans="1:7" x14ac:dyDescent="0.25">
      <c r="A30" s="7" t="s">
        <v>139</v>
      </c>
      <c r="B30" s="7" t="s">
        <v>97</v>
      </c>
      <c r="C30" s="7" t="s">
        <v>140</v>
      </c>
      <c r="D30" s="7" t="s">
        <v>141</v>
      </c>
      <c r="E30" s="7" t="s">
        <v>129</v>
      </c>
      <c r="F30" s="7"/>
      <c r="G30" s="7"/>
    </row>
    <row r="31" ht="28" customHeight="1" spans="1:7" x14ac:dyDescent="0.25">
      <c r="A31" s="5" t="s">
        <v>142</v>
      </c>
      <c r="B31" s="5" t="s">
        <v>101</v>
      </c>
      <c r="C31" s="5" t="s">
        <v>143</v>
      </c>
      <c r="D31" s="5" t="s">
        <v>144</v>
      </c>
      <c r="E31" s="5" t="s">
        <v>129</v>
      </c>
      <c r="F31" s="5"/>
      <c r="G31" s="5"/>
    </row>
    <row r="32" ht="28" customHeight="1" spans="1:7" x14ac:dyDescent="0.25">
      <c r="A32" s="7" t="s">
        <v>145</v>
      </c>
      <c r="B32" s="7" t="s">
        <v>102</v>
      </c>
      <c r="C32" s="7" t="s">
        <v>146</v>
      </c>
      <c r="D32" s="7" t="s">
        <v>147</v>
      </c>
      <c r="E32" s="7" t="s">
        <v>129</v>
      </c>
      <c r="F32" s="7"/>
      <c r="G32" s="7"/>
    </row>
    <row r="33" ht="28" customHeight="1" spans="1:7" x14ac:dyDescent="0.25">
      <c r="A33" s="5" t="s">
        <v>148</v>
      </c>
      <c r="B33" s="5" t="s">
        <v>149</v>
      </c>
      <c r="C33" s="5" t="s">
        <v>150</v>
      </c>
      <c r="D33" s="5" t="s">
        <v>128</v>
      </c>
      <c r="E33" s="5" t="s">
        <v>151</v>
      </c>
      <c r="F33" s="5"/>
      <c r="G33" s="5"/>
    </row>
    <row r="34" ht="28" customHeight="1" spans="1:7" x14ac:dyDescent="0.25">
      <c r="A34" s="7" t="s">
        <v>152</v>
      </c>
      <c r="B34" s="7" t="s">
        <v>153</v>
      </c>
      <c r="C34" s="7" t="s">
        <v>154</v>
      </c>
      <c r="D34" s="7" t="s">
        <v>128</v>
      </c>
      <c r="E34" s="7" t="s">
        <v>151</v>
      </c>
      <c r="F34" s="7"/>
      <c r="G34" s="7"/>
    </row>
    <row r="35" ht="28" customHeight="1" spans="1:7" x14ac:dyDescent="0.25">
      <c r="A35" s="5" t="s">
        <v>155</v>
      </c>
      <c r="B35" s="5" t="s">
        <v>116</v>
      </c>
      <c r="C35" s="5" t="s">
        <v>156</v>
      </c>
      <c r="D35" s="5" t="s">
        <v>157</v>
      </c>
      <c r="E35" s="5" t="s">
        <v>158</v>
      </c>
      <c r="F35" s="5"/>
      <c r="G35" s="5"/>
    </row>
    <row r="36" ht="28" customHeight="1" spans="1:7" x14ac:dyDescent="0.25">
      <c r="A36" s="7" t="s">
        <v>159</v>
      </c>
      <c r="B36" s="7" t="s">
        <v>160</v>
      </c>
      <c r="C36" s="7" t="s">
        <v>161</v>
      </c>
      <c r="D36" s="7" t="s">
        <v>162</v>
      </c>
      <c r="E36" s="7" t="s">
        <v>129</v>
      </c>
      <c r="F36" s="7"/>
      <c r="G36" s="7"/>
    </row>
    <row r="39" spans="1:7" x14ac:dyDescent="0.25">
      <c r="A39" s="6" t="s">
        <v>163</v>
      </c>
      <c r="B39" s="6"/>
      <c r="C39" s="6"/>
      <c r="D39" s="6"/>
      <c r="E39" s="6"/>
      <c r="F39" s="6"/>
      <c r="G39" s="6"/>
    </row>
    <row r="40" spans="1:5" x14ac:dyDescent="0.25">
      <c r="A40" s="3" t="s">
        <v>164</v>
      </c>
      <c r="B40" s="3" t="s">
        <v>165</v>
      </c>
      <c r="C40" s="3" t="s">
        <v>166</v>
      </c>
      <c r="D40" s="3" t="s">
        <v>167</v>
      </c>
      <c r="E40" s="3" t="s">
        <v>168</v>
      </c>
    </row>
    <row r="41" ht="36" customHeight="1" spans="1:7" x14ac:dyDescent="0.25">
      <c r="A41" s="13" t="s">
        <v>169</v>
      </c>
      <c r="B41" s="13" t="s">
        <v>170</v>
      </c>
      <c r="C41" s="13" t="s">
        <v>171</v>
      </c>
      <c r="D41" s="13" t="s">
        <v>172</v>
      </c>
      <c r="E41" s="13" t="s">
        <v>173</v>
      </c>
      <c r="F41" s="13"/>
      <c r="G41" s="13"/>
    </row>
    <row r="42" ht="36" customHeight="1" spans="1:7" x14ac:dyDescent="0.25">
      <c r="A42" s="13" t="s">
        <v>169</v>
      </c>
      <c r="B42" s="13" t="s">
        <v>174</v>
      </c>
      <c r="C42" s="13" t="s">
        <v>175</v>
      </c>
      <c r="D42" s="13" t="s">
        <v>176</v>
      </c>
      <c r="E42" s="13" t="s">
        <v>177</v>
      </c>
      <c r="F42" s="13"/>
      <c r="G42" s="13"/>
    </row>
    <row r="43" ht="36" customHeight="1" spans="1:7" x14ac:dyDescent="0.25">
      <c r="A43" s="13" t="s">
        <v>169</v>
      </c>
      <c r="B43" s="13" t="s">
        <v>174</v>
      </c>
      <c r="C43" s="13" t="s">
        <v>178</v>
      </c>
      <c r="D43" s="13" t="s">
        <v>179</v>
      </c>
      <c r="E43" s="13" t="s">
        <v>180</v>
      </c>
      <c r="F43" s="13"/>
      <c r="G43" s="13"/>
    </row>
    <row r="44" ht="36" customHeight="1" spans="1:7" x14ac:dyDescent="0.25">
      <c r="A44" s="13" t="s">
        <v>169</v>
      </c>
      <c r="B44" s="13" t="s">
        <v>181</v>
      </c>
      <c r="C44" s="13" t="s">
        <v>182</v>
      </c>
      <c r="D44" s="13" t="s">
        <v>183</v>
      </c>
      <c r="E44" s="13" t="s">
        <v>184</v>
      </c>
      <c r="F44" s="13"/>
      <c r="G44" s="13"/>
    </row>
    <row r="45" ht="36" customHeight="1" spans="1:7" x14ac:dyDescent="0.25">
      <c r="A45" s="13" t="s">
        <v>169</v>
      </c>
      <c r="B45" s="13" t="s">
        <v>181</v>
      </c>
      <c r="C45" s="13" t="s">
        <v>185</v>
      </c>
      <c r="D45" s="13" t="s">
        <v>117</v>
      </c>
      <c r="E45" s="13" t="s">
        <v>186</v>
      </c>
      <c r="F45" s="13"/>
      <c r="G45" s="13"/>
    </row>
    <row r="46" ht="36" customHeight="1" spans="1:7" x14ac:dyDescent="0.25">
      <c r="A46" s="5" t="s">
        <v>187</v>
      </c>
      <c r="B46" s="5" t="s">
        <v>181</v>
      </c>
      <c r="C46" s="5" t="s">
        <v>188</v>
      </c>
      <c r="D46" s="5" t="s">
        <v>88</v>
      </c>
      <c r="E46" s="5" t="s">
        <v>189</v>
      </c>
      <c r="F46" s="5"/>
      <c r="G46" s="5"/>
    </row>
    <row r="47" ht="36" customHeight="1" spans="1:7" x14ac:dyDescent="0.25">
      <c r="A47" s="7" t="s">
        <v>190</v>
      </c>
      <c r="B47" s="7" t="s">
        <v>191</v>
      </c>
      <c r="C47" s="7" t="s">
        <v>192</v>
      </c>
      <c r="D47" s="7" t="s">
        <v>193</v>
      </c>
      <c r="E47" s="7" t="s">
        <v>194</v>
      </c>
      <c r="F47" s="7"/>
      <c r="G47" s="7"/>
    </row>
    <row r="48" ht="36" customHeight="1" spans="1:7" x14ac:dyDescent="0.25">
      <c r="A48" s="5" t="s">
        <v>190</v>
      </c>
      <c r="B48" s="5" t="s">
        <v>191</v>
      </c>
      <c r="C48" s="5" t="s">
        <v>195</v>
      </c>
      <c r="D48" s="5" t="s">
        <v>196</v>
      </c>
      <c r="E48" s="5" t="s">
        <v>197</v>
      </c>
      <c r="F48" s="5"/>
      <c r="G48" s="5"/>
    </row>
  </sheetData>
  <mergeCells count="31">
    <mergeCell ref="A1:G1"/>
    <mergeCell ref="A2:G2"/>
    <mergeCell ref="A4:E4"/>
    <mergeCell ref="C5:G5"/>
    <mergeCell ref="C6:G6"/>
    <mergeCell ref="C7:G7"/>
    <mergeCell ref="C8:G8"/>
    <mergeCell ref="C9:G9"/>
    <mergeCell ref="C10:G10"/>
    <mergeCell ref="A13:G13"/>
    <mergeCell ref="A24:G24"/>
    <mergeCell ref="E26:G26"/>
    <mergeCell ref="E27:G27"/>
    <mergeCell ref="E28:G28"/>
    <mergeCell ref="E29:G29"/>
    <mergeCell ref="E30:G30"/>
    <mergeCell ref="E31:G31"/>
    <mergeCell ref="E32:G32"/>
    <mergeCell ref="E33:G33"/>
    <mergeCell ref="E34:G34"/>
    <mergeCell ref="E35:G35"/>
    <mergeCell ref="E36:G36"/>
    <mergeCell ref="A39:G39"/>
    <mergeCell ref="E41:G41"/>
    <mergeCell ref="E42:G42"/>
    <mergeCell ref="E43:G43"/>
    <mergeCell ref="E44:G44"/>
    <mergeCell ref="E45:G45"/>
    <mergeCell ref="E46:G46"/>
    <mergeCell ref="E47:G47"/>
    <mergeCell ref="E48:G48"/>
  </mergeCells>
  <conditionalFormatting sqref="F15:F21">
    <cfRule type="containsText" dxfId="0" priority="1">
      <formula>NOT(ISERROR(SEARCH("Automated",F15)))</formula>
    </cfRule>
    <cfRule type="containsText" dxfId="1" priority="2">
      <formula>NOT(ISERROR(SEARCH("Gap",F15)))</formula>
    </cfRule>
    <cfRule type="containsText" dxfId="2" priority="3">
      <formula>NOT(ISERROR(SEARCH("Partial",F15)))</formula>
    </cfRule>
  </conditionalFormatting>
  <pageMargins left="0.7" right="0.7" top="0.75" bottom="0.75" header="0.3" footer="0.3"/>
  <pageSetup orientation="landscape"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howGridLines="0">
      <pane xSplit="1" ySplit="5" topLeftCell="B6" activePane="bottomRight" state="frozen"/>
      <selection pane="bottomRight"/>
    </sheetView>
  </sheetViews>
  <sheetFormatPr defaultRowHeight="15" outlineLevelRow="0" outlineLevelCol="0" x14ac:dyDescent="55"/>
  <cols>
    <col min="1" max="1" width="26" customWidth="1"/>
    <col min="2" max="2" width="22" customWidth="1"/>
    <col min="3" max="3" width="24" customWidth="1"/>
    <col min="4" max="5" width="22" customWidth="1"/>
    <col min="6" max="6" width="16" customWidth="1"/>
    <col min="7" max="8" width="14" customWidth="1"/>
    <col min="9" max="10" width="16" customWidth="1"/>
    <col min="11" max="11" width="12" customWidth="1"/>
    <col min="12" max="12" width="40" customWidth="1"/>
  </cols>
  <sheetData>
    <row r="1" ht="28" customHeight="1" spans="1:12" x14ac:dyDescent="0.25">
      <c r="A1" s="3" t="s">
        <v>198</v>
      </c>
      <c r="B1" s="3"/>
      <c r="C1" s="3"/>
      <c r="D1" s="3"/>
      <c r="E1" s="3"/>
      <c r="F1" s="3"/>
      <c r="G1" s="3"/>
      <c r="H1" s="3"/>
      <c r="I1" s="3"/>
      <c r="J1" s="3"/>
      <c r="K1" s="3"/>
      <c r="L1" s="3"/>
    </row>
    <row r="2" ht="22" customHeight="1" spans="1:12" x14ac:dyDescent="0.25">
      <c r="A2" s="8" t="s">
        <v>199</v>
      </c>
      <c r="B2" s="8"/>
      <c r="C2" s="8"/>
      <c r="D2" s="8"/>
      <c r="E2" s="8"/>
      <c r="F2" s="8"/>
      <c r="G2" s="8"/>
      <c r="H2" s="8"/>
      <c r="I2" s="8"/>
      <c r="J2" s="8"/>
      <c r="K2" s="8"/>
      <c r="L2" s="8"/>
    </row>
    <row r="4" ht="36" customHeight="1" spans="1:12" x14ac:dyDescent="0.25">
      <c r="A4" s="16" t="s">
        <v>33</v>
      </c>
      <c r="B4" s="16" t="s">
        <v>200</v>
      </c>
      <c r="C4" s="16" t="s">
        <v>201</v>
      </c>
      <c r="D4" s="16" t="s">
        <v>202</v>
      </c>
      <c r="E4" s="16" t="s">
        <v>203</v>
      </c>
      <c r="F4" s="16" t="s">
        <v>204</v>
      </c>
      <c r="G4" s="16" t="s">
        <v>205</v>
      </c>
      <c r="H4" s="16" t="s">
        <v>206</v>
      </c>
      <c r="I4" s="16" t="s">
        <v>207</v>
      </c>
      <c r="J4" s="16" t="s">
        <v>208</v>
      </c>
      <c r="K4" s="16" t="s">
        <v>209</v>
      </c>
      <c r="L4" s="16" t="s">
        <v>210</v>
      </c>
    </row>
    <row r="5" ht="22" customHeight="1" spans="1:12" x14ac:dyDescent="0.25">
      <c r="A5" s="17" t="s">
        <v>36</v>
      </c>
      <c r="B5" s="18" t="s">
        <v>211</v>
      </c>
      <c r="C5" s="18" t="s">
        <v>211</v>
      </c>
      <c r="D5" s="18" t="s">
        <v>211</v>
      </c>
      <c r="E5" s="18" t="s">
        <v>212</v>
      </c>
      <c r="F5" s="18" t="s">
        <v>212</v>
      </c>
      <c r="G5" s="18" t="s">
        <v>212</v>
      </c>
      <c r="H5" s="18" t="s">
        <v>212</v>
      </c>
      <c r="I5" s="18" t="s">
        <v>212</v>
      </c>
      <c r="J5" s="18" t="s">
        <v>212</v>
      </c>
      <c r="K5" s="18">
        <f>COUNTIF(B5:J5,"Y")</f>
      </c>
      <c r="L5" s="17" t="s">
        <v>213</v>
      </c>
    </row>
    <row r="6" ht="22" customHeight="1" spans="1:12" x14ac:dyDescent="0.25">
      <c r="A6" s="19" t="s">
        <v>39</v>
      </c>
      <c r="B6" s="20" t="s">
        <v>211</v>
      </c>
      <c r="C6" s="20" t="s">
        <v>211</v>
      </c>
      <c r="D6" s="20" t="s">
        <v>211</v>
      </c>
      <c r="E6" s="20" t="s">
        <v>212</v>
      </c>
      <c r="F6" s="20" t="s">
        <v>212</v>
      </c>
      <c r="G6" s="20" t="s">
        <v>212</v>
      </c>
      <c r="H6" s="20" t="s">
        <v>212</v>
      </c>
      <c r="I6" s="20" t="s">
        <v>212</v>
      </c>
      <c r="J6" s="20" t="s">
        <v>212</v>
      </c>
      <c r="K6" s="20">
        <f>COUNTIF(B6:J6,"Y")</f>
      </c>
      <c r="L6" s="19" t="s">
        <v>214</v>
      </c>
    </row>
    <row r="7" ht="22" customHeight="1" spans="1:12" x14ac:dyDescent="0.25">
      <c r="A7" s="17" t="s">
        <v>41</v>
      </c>
      <c r="B7" s="18" t="s">
        <v>211</v>
      </c>
      <c r="C7" s="18" t="s">
        <v>211</v>
      </c>
      <c r="D7" s="18" t="s">
        <v>211</v>
      </c>
      <c r="E7" s="18" t="s">
        <v>212</v>
      </c>
      <c r="F7" s="18" t="s">
        <v>212</v>
      </c>
      <c r="G7" s="18" t="s">
        <v>212</v>
      </c>
      <c r="H7" s="18" t="s">
        <v>212</v>
      </c>
      <c r="I7" s="18" t="s">
        <v>212</v>
      </c>
      <c r="J7" s="18" t="s">
        <v>211</v>
      </c>
      <c r="K7" s="18">
        <f>COUNTIF(B7:J7,"Y")</f>
      </c>
      <c r="L7" s="17" t="s">
        <v>215</v>
      </c>
    </row>
    <row r="8" ht="22" customHeight="1" spans="1:12" x14ac:dyDescent="0.25">
      <c r="A8" s="19" t="s">
        <v>43</v>
      </c>
      <c r="B8" s="20" t="s">
        <v>211</v>
      </c>
      <c r="C8" s="20" t="s">
        <v>211</v>
      </c>
      <c r="D8" s="20" t="s">
        <v>211</v>
      </c>
      <c r="E8" s="20" t="s">
        <v>212</v>
      </c>
      <c r="F8" s="20" t="s">
        <v>212</v>
      </c>
      <c r="G8" s="20" t="s">
        <v>212</v>
      </c>
      <c r="H8" s="20" t="s">
        <v>212</v>
      </c>
      <c r="I8" s="20" t="s">
        <v>212</v>
      </c>
      <c r="J8" s="20" t="s">
        <v>211</v>
      </c>
      <c r="K8" s="20">
        <f>COUNTIF(B8:J8,"Y")</f>
      </c>
      <c r="L8" s="19" t="s">
        <v>215</v>
      </c>
    </row>
    <row r="9" ht="22" customHeight="1" spans="1:12" x14ac:dyDescent="0.25">
      <c r="A9" s="17" t="s">
        <v>45</v>
      </c>
      <c r="B9" s="18" t="s">
        <v>212</v>
      </c>
      <c r="C9" s="18" t="s">
        <v>212</v>
      </c>
      <c r="D9" s="18" t="s">
        <v>212</v>
      </c>
      <c r="E9" s="18" t="s">
        <v>211</v>
      </c>
      <c r="F9" s="18" t="s">
        <v>211</v>
      </c>
      <c r="G9" s="18" t="s">
        <v>212</v>
      </c>
      <c r="H9" s="18" t="s">
        <v>212</v>
      </c>
      <c r="I9" s="18" t="s">
        <v>216</v>
      </c>
      <c r="J9" s="18" t="s">
        <v>212</v>
      </c>
      <c r="K9" s="18">
        <f>COUNTIF(B9:J9,"Y")</f>
      </c>
      <c r="L9" s="17" t="s">
        <v>217</v>
      </c>
    </row>
    <row r="10" ht="22" customHeight="1" spans="1:12" x14ac:dyDescent="0.25">
      <c r="A10" s="19" t="s">
        <v>48</v>
      </c>
      <c r="B10" s="20" t="s">
        <v>212</v>
      </c>
      <c r="C10" s="20" t="s">
        <v>211</v>
      </c>
      <c r="D10" s="20" t="s">
        <v>212</v>
      </c>
      <c r="E10" s="20" t="s">
        <v>211</v>
      </c>
      <c r="F10" s="20" t="s">
        <v>211</v>
      </c>
      <c r="G10" s="20" t="s">
        <v>211</v>
      </c>
      <c r="H10" s="20" t="s">
        <v>211</v>
      </c>
      <c r="I10" s="20" t="s">
        <v>216</v>
      </c>
      <c r="J10" s="20" t="s">
        <v>211</v>
      </c>
      <c r="K10" s="20">
        <f>COUNTIF(B10:J10,"Y")</f>
      </c>
      <c r="L10" s="19" t="s">
        <v>218</v>
      </c>
    </row>
    <row r="11" ht="22" customHeight="1" spans="1:12" x14ac:dyDescent="0.25">
      <c r="A11" s="17" t="s">
        <v>51</v>
      </c>
      <c r="B11" s="18" t="s">
        <v>212</v>
      </c>
      <c r="C11" s="18" t="s">
        <v>212</v>
      </c>
      <c r="D11" s="18" t="s">
        <v>212</v>
      </c>
      <c r="E11" s="18" t="s">
        <v>211</v>
      </c>
      <c r="F11" s="18" t="s">
        <v>211</v>
      </c>
      <c r="G11" s="18" t="s">
        <v>212</v>
      </c>
      <c r="H11" s="18" t="s">
        <v>212</v>
      </c>
      <c r="I11" s="18" t="s">
        <v>216</v>
      </c>
      <c r="J11" s="18" t="s">
        <v>212</v>
      </c>
      <c r="K11" s="18">
        <f>COUNTIF(B11:J11,"Y")</f>
      </c>
      <c r="L11" s="17" t="s">
        <v>219</v>
      </c>
    </row>
    <row r="12" ht="22" customHeight="1" spans="1:12" x14ac:dyDescent="0.25">
      <c r="A12" s="19" t="s">
        <v>54</v>
      </c>
      <c r="B12" s="20" t="s">
        <v>212</v>
      </c>
      <c r="C12" s="20" t="s">
        <v>211</v>
      </c>
      <c r="D12" s="20" t="s">
        <v>212</v>
      </c>
      <c r="E12" s="20" t="s">
        <v>211</v>
      </c>
      <c r="F12" s="20" t="s">
        <v>211</v>
      </c>
      <c r="G12" s="20" t="s">
        <v>211</v>
      </c>
      <c r="H12" s="20" t="s">
        <v>211</v>
      </c>
      <c r="I12" s="20" t="s">
        <v>216</v>
      </c>
      <c r="J12" s="20" t="s">
        <v>211</v>
      </c>
      <c r="K12" s="20">
        <f>COUNTIF(B12:J12,"Y")</f>
      </c>
      <c r="L12" s="19" t="s">
        <v>220</v>
      </c>
    </row>
    <row r="13" ht="22" customHeight="1" spans="1:12" x14ac:dyDescent="0.25">
      <c r="A13" s="17" t="s">
        <v>57</v>
      </c>
      <c r="B13" s="18" t="s">
        <v>212</v>
      </c>
      <c r="C13" s="18" t="s">
        <v>211</v>
      </c>
      <c r="D13" s="18" t="s">
        <v>212</v>
      </c>
      <c r="E13" s="18" t="s">
        <v>211</v>
      </c>
      <c r="F13" s="18" t="s">
        <v>211</v>
      </c>
      <c r="G13" s="18" t="s">
        <v>211</v>
      </c>
      <c r="H13" s="18" t="s">
        <v>211</v>
      </c>
      <c r="I13" s="18" t="s">
        <v>216</v>
      </c>
      <c r="J13" s="18" t="s">
        <v>211</v>
      </c>
      <c r="K13" s="18">
        <f>COUNTIF(B13:J13,"Y")</f>
      </c>
      <c r="L13" s="17" t="s">
        <v>220</v>
      </c>
    </row>
    <row r="14" ht="22" customHeight="1" spans="1:12" x14ac:dyDescent="0.25">
      <c r="A14" s="19" t="s">
        <v>60</v>
      </c>
      <c r="B14" s="20" t="s">
        <v>212</v>
      </c>
      <c r="C14" s="20" t="s">
        <v>211</v>
      </c>
      <c r="D14" s="20" t="s">
        <v>212</v>
      </c>
      <c r="E14" s="20" t="s">
        <v>211</v>
      </c>
      <c r="F14" s="20" t="s">
        <v>211</v>
      </c>
      <c r="G14" s="20" t="s">
        <v>211</v>
      </c>
      <c r="H14" s="20" t="s">
        <v>211</v>
      </c>
      <c r="I14" s="20" t="s">
        <v>216</v>
      </c>
      <c r="J14" s="20" t="s">
        <v>211</v>
      </c>
      <c r="K14" s="20">
        <f>COUNTIF(B14:J14,"Y")</f>
      </c>
      <c r="L14" s="19" t="s">
        <v>220</v>
      </c>
    </row>
    <row r="17" spans="1:4" x14ac:dyDescent="0.25">
      <c r="A17" s="6" t="s">
        <v>221</v>
      </c>
      <c r="B17" s="6"/>
      <c r="C17" s="6"/>
      <c r="D17" s="6"/>
    </row>
    <row r="18" spans="1:4" x14ac:dyDescent="0.25">
      <c r="A18" s="3" t="s">
        <v>222</v>
      </c>
      <c r="B18" s="3" t="s">
        <v>33</v>
      </c>
      <c r="C18" s="3" t="s">
        <v>223</v>
      </c>
      <c r="D18" s="3" t="s">
        <v>224</v>
      </c>
    </row>
    <row r="19" spans="1:4" x14ac:dyDescent="0.25">
      <c r="A19" s="7" t="s">
        <v>225</v>
      </c>
      <c r="B19" s="7" t="s">
        <v>36</v>
      </c>
      <c r="C19" s="7" t="s">
        <v>213</v>
      </c>
      <c r="D19" s="21">
        <v>1201</v>
      </c>
    </row>
    <row r="20" spans="1:4" x14ac:dyDescent="0.25">
      <c r="A20" s="5" t="s">
        <v>226</v>
      </c>
      <c r="B20" s="5" t="s">
        <v>39</v>
      </c>
      <c r="C20" s="5" t="s">
        <v>227</v>
      </c>
      <c r="D20" s="22">
        <v>1066</v>
      </c>
    </row>
    <row r="21" spans="1:4" x14ac:dyDescent="0.25">
      <c r="A21" s="7" t="s">
        <v>228</v>
      </c>
      <c r="B21" s="7" t="s">
        <v>41</v>
      </c>
      <c r="C21" s="7" t="s">
        <v>229</v>
      </c>
      <c r="D21" s="23">
        <v>0</v>
      </c>
    </row>
    <row r="22" spans="1:4" x14ac:dyDescent="0.25">
      <c r="A22" s="5" t="s">
        <v>230</v>
      </c>
      <c r="B22" s="5" t="s">
        <v>43</v>
      </c>
      <c r="C22" s="5" t="s">
        <v>231</v>
      </c>
      <c r="D22" s="23">
        <v>0</v>
      </c>
    </row>
    <row r="23" spans="1:4" x14ac:dyDescent="0.25">
      <c r="A23" s="7" t="s">
        <v>232</v>
      </c>
      <c r="B23" s="7" t="s">
        <v>48</v>
      </c>
      <c r="C23" s="7" t="s">
        <v>233</v>
      </c>
      <c r="D23" s="23">
        <v>0</v>
      </c>
    </row>
    <row r="24" spans="1:4" x14ac:dyDescent="0.25">
      <c r="A24" s="5" t="s">
        <v>234</v>
      </c>
      <c r="B24" s="5" t="s">
        <v>48</v>
      </c>
      <c r="C24" s="5" t="s">
        <v>235</v>
      </c>
      <c r="D24" s="23">
        <v>0</v>
      </c>
    </row>
    <row r="25" spans="1:4" x14ac:dyDescent="0.25">
      <c r="A25" s="7" t="s">
        <v>236</v>
      </c>
      <c r="B25" s="7" t="s">
        <v>45</v>
      </c>
      <c r="C25" s="7" t="s">
        <v>237</v>
      </c>
      <c r="D25" s="7" t="s">
        <v>238</v>
      </c>
    </row>
    <row r="26" spans="1:4" x14ac:dyDescent="0.25">
      <c r="A26" s="5" t="s">
        <v>239</v>
      </c>
      <c r="B26" s="5" t="s">
        <v>51</v>
      </c>
      <c r="C26" s="5" t="s">
        <v>240</v>
      </c>
      <c r="D26" s="5" t="s">
        <v>241</v>
      </c>
    </row>
    <row r="27" spans="1:4" x14ac:dyDescent="0.25">
      <c r="A27" s="7" t="s">
        <v>242</v>
      </c>
      <c r="B27" s="7" t="s">
        <v>51</v>
      </c>
      <c r="C27" s="7" t="s">
        <v>243</v>
      </c>
      <c r="D27" s="7" t="s">
        <v>241</v>
      </c>
    </row>
    <row r="28" spans="1:4" x14ac:dyDescent="0.25">
      <c r="A28" s="5" t="s">
        <v>244</v>
      </c>
      <c r="B28" s="5" t="s">
        <v>51</v>
      </c>
      <c r="C28" s="5" t="s">
        <v>245</v>
      </c>
      <c r="D28" s="5" t="s">
        <v>241</v>
      </c>
    </row>
    <row r="29" spans="1:4" x14ac:dyDescent="0.25">
      <c r="A29" s="7" t="s">
        <v>246</v>
      </c>
      <c r="B29" s="7" t="s">
        <v>57</v>
      </c>
      <c r="C29" s="7" t="s">
        <v>247</v>
      </c>
      <c r="D29" s="13" t="s">
        <v>248</v>
      </c>
    </row>
    <row r="30" spans="1:4" x14ac:dyDescent="0.25">
      <c r="A30" s="5" t="s">
        <v>249</v>
      </c>
      <c r="B30" s="5" t="s">
        <v>57</v>
      </c>
      <c r="C30" s="5" t="s">
        <v>250</v>
      </c>
      <c r="D30" s="13" t="s">
        <v>248</v>
      </c>
    </row>
    <row r="31" spans="1:4" x14ac:dyDescent="0.25">
      <c r="A31" s="7" t="s">
        <v>251</v>
      </c>
      <c r="B31" s="7" t="s">
        <v>57</v>
      </c>
      <c r="C31" s="7" t="s">
        <v>252</v>
      </c>
      <c r="D31" s="13" t="s">
        <v>248</v>
      </c>
    </row>
    <row r="32" spans="1:4" x14ac:dyDescent="0.25">
      <c r="A32" s="5" t="s">
        <v>253</v>
      </c>
      <c r="B32" s="5" t="s">
        <v>60</v>
      </c>
      <c r="C32" s="5" t="s">
        <v>247</v>
      </c>
      <c r="D32" s="13" t="s">
        <v>248</v>
      </c>
    </row>
    <row r="33" spans="1:4" x14ac:dyDescent="0.25">
      <c r="A33" s="7" t="s">
        <v>254</v>
      </c>
      <c r="B33" s="7" t="s">
        <v>60</v>
      </c>
      <c r="C33" s="7" t="s">
        <v>250</v>
      </c>
      <c r="D33" s="13" t="s">
        <v>248</v>
      </c>
    </row>
    <row r="34" spans="1:4" x14ac:dyDescent="0.25">
      <c r="A34" s="5" t="s">
        <v>255</v>
      </c>
      <c r="B34" s="5" t="s">
        <v>60</v>
      </c>
      <c r="C34" s="5" t="s">
        <v>252</v>
      </c>
      <c r="D34" s="13" t="s">
        <v>248</v>
      </c>
    </row>
    <row r="35" spans="1:4" x14ac:dyDescent="0.25">
      <c r="A35" s="7" t="s">
        <v>256</v>
      </c>
      <c r="B35" s="7" t="s">
        <v>54</v>
      </c>
      <c r="C35" s="7" t="s">
        <v>257</v>
      </c>
      <c r="D35" s="13" t="s">
        <v>248</v>
      </c>
    </row>
    <row r="36" spans="1:4" x14ac:dyDescent="0.25">
      <c r="A36" s="5" t="s">
        <v>258</v>
      </c>
      <c r="B36" s="5" t="s">
        <v>54</v>
      </c>
      <c r="C36" s="5" t="s">
        <v>259</v>
      </c>
      <c r="D36" s="13" t="s">
        <v>248</v>
      </c>
    </row>
    <row r="37" spans="1:4" x14ac:dyDescent="0.25">
      <c r="A37" s="7" t="s">
        <v>260</v>
      </c>
      <c r="B37" s="7" t="s">
        <v>54</v>
      </c>
      <c r="C37" s="7" t="s">
        <v>261</v>
      </c>
      <c r="D37" s="13" t="s">
        <v>248</v>
      </c>
    </row>
    <row r="38" spans="1:4" x14ac:dyDescent="0.25">
      <c r="A38" s="5" t="s">
        <v>262</v>
      </c>
      <c r="B38" s="5" t="s">
        <v>54</v>
      </c>
      <c r="C38" s="5" t="s">
        <v>263</v>
      </c>
      <c r="D38" s="13" t="s">
        <v>248</v>
      </c>
    </row>
  </sheetData>
  <mergeCells count="3">
    <mergeCell ref="A1:L1"/>
    <mergeCell ref="A2:L2"/>
    <mergeCell ref="A17:D17"/>
  </mergeCells>
  <conditionalFormatting sqref="B5:J14">
    <cfRule type="containsText" dxfId="3" priority="1">
      <formula>NOT(ISERROR(SEARCH("Y",B5)))</formula>
    </cfRule>
    <cfRule type="containsText" dxfId="4" priority="2">
      <formula>NOT(ISERROR(SEARCH("EXP",B5)))</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8" customWidth="1"/>
    <col min="2" max="3" width="14" customWidth="1"/>
    <col min="4" max="4" width="18" customWidth="1"/>
    <col min="5" max="5" width="16" customWidth="1"/>
    <col min="6" max="8" width="14" customWidth="1"/>
  </cols>
  <sheetData>
    <row r="1" spans="1:8" x14ac:dyDescent="0.25">
      <c r="A1" s="3" t="s">
        <v>125</v>
      </c>
      <c r="B1" s="3" t="s">
        <v>164</v>
      </c>
      <c r="C1" s="3" t="s">
        <v>34</v>
      </c>
      <c r="D1" s="3" t="s">
        <v>264</v>
      </c>
      <c r="E1" s="3" t="s">
        <v>265</v>
      </c>
      <c r="F1" s="3" t="s">
        <v>266</v>
      </c>
      <c r="G1" s="3" t="s">
        <v>267</v>
      </c>
      <c r="H1" s="3" t="s">
        <v>268</v>
      </c>
    </row>
    <row r="2" spans="1:8" x14ac:dyDescent="0.25">
      <c r="A2" t="s">
        <v>269</v>
      </c>
      <c r="B2" t="s">
        <v>270</v>
      </c>
      <c r="C2" t="s">
        <v>271</v>
      </c>
      <c r="D2" t="s">
        <v>67</v>
      </c>
      <c r="E2" t="s">
        <v>272</v>
      </c>
      <c r="F2" t="s">
        <v>273</v>
      </c>
      <c r="G2" t="s">
        <v>270</v>
      </c>
      <c r="H2" t="s">
        <v>274</v>
      </c>
    </row>
    <row r="3" spans="1:8" x14ac:dyDescent="0.25">
      <c r="A3" t="s">
        <v>275</v>
      </c>
      <c r="B3" t="s">
        <v>276</v>
      </c>
      <c r="C3" t="s">
        <v>277</v>
      </c>
      <c r="D3" t="s">
        <v>69</v>
      </c>
      <c r="E3" t="s">
        <v>278</v>
      </c>
      <c r="F3" t="s">
        <v>279</v>
      </c>
      <c r="G3" t="s">
        <v>276</v>
      </c>
      <c r="H3" t="s">
        <v>169</v>
      </c>
    </row>
    <row r="4" spans="1:8" x14ac:dyDescent="0.25">
      <c r="A4" t="s">
        <v>280</v>
      </c>
      <c r="B4" t="s">
        <v>281</v>
      </c>
      <c r="C4" t="s">
        <v>282</v>
      </c>
      <c r="D4" t="s">
        <v>71</v>
      </c>
      <c r="E4" t="s">
        <v>283</v>
      </c>
      <c r="F4" t="s">
        <v>284</v>
      </c>
      <c r="G4" t="s">
        <v>281</v>
      </c>
      <c r="H4" t="s">
        <v>187</v>
      </c>
    </row>
    <row r="5" spans="1:8" x14ac:dyDescent="0.25">
      <c r="A5" t="s">
        <v>285</v>
      </c>
      <c r="B5" t="s">
        <v>286</v>
      </c>
      <c r="C5" t="s">
        <v>191</v>
      </c>
      <c r="D5" t="s">
        <v>73</v>
      </c>
      <c r="E5" t="s">
        <v>287</v>
      </c>
      <c r="F5" t="s">
        <v>288</v>
      </c>
      <c r="G5" t="s">
        <v>286</v>
      </c>
      <c r="H5" t="s">
        <v>190</v>
      </c>
    </row>
    <row r="6" spans="1:6" x14ac:dyDescent="0.25">
      <c r="A6" t="s">
        <v>289</v>
      </c>
      <c r="F6" t="s">
        <v>290</v>
      </c>
    </row>
    <row r="7" spans="6:6" x14ac:dyDescent="0.25">
      <c r="F7" t="s">
        <v>291</v>
      </c>
    </row>
    <row r="8" spans="6:6" x14ac:dyDescent="0.25">
      <c r="F8" t="s">
        <v>292</v>
      </c>
    </row>
    <row r="9" spans="6:6" x14ac:dyDescent="0.25">
      <c r="F9" t="s">
        <v>293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7"/>
  <sheetViews>
    <sheetView workbookViewId="0" showGridLines="0">
      <pane ySplit="7" topLeftCell="A8" activePane="bottomLeft" state="frozen"/>
      <selection pane="bottomLeft"/>
    </sheetView>
  </sheetViews>
  <sheetFormatPr defaultRowHeight="15" outlineLevelRow="0" outlineLevelCol="0" x14ac:dyDescent="55"/>
  <cols>
    <col min="1" max="1" width="14" customWidth="1"/>
    <col min="2" max="2" width="36" customWidth="1"/>
    <col min="3" max="3" width="28" customWidth="1"/>
    <col min="4" max="4" width="36" customWidth="1"/>
    <col min="5" max="5" width="40" customWidth="1"/>
    <col min="6" max="7" width="36" customWidth="1"/>
    <col min="8" max="8" width="12" customWidth="1"/>
    <col min="9" max="9" width="10" customWidth="1"/>
    <col min="10" max="10" width="14" customWidth="1"/>
    <col min="11" max="11" width="28" customWidth="1"/>
    <col min="12" max="13" width="14" customWidth="1"/>
    <col min="14" max="14" width="28" customWidth="1"/>
    <col min="15" max="15" width="20" customWidth="1"/>
  </cols>
  <sheetData>
    <row r="1" ht="28" customHeight="1" spans="1:15" x14ac:dyDescent="0.25">
      <c r="A1" s="24" t="s">
        <v>294</v>
      </c>
      <c r="B1" s="24"/>
      <c r="C1" s="24"/>
      <c r="D1" s="24"/>
      <c r="E1" s="24"/>
      <c r="F1" s="24"/>
      <c r="G1" s="24"/>
      <c r="H1" s="24"/>
      <c r="I1" s="24"/>
      <c r="J1" s="24"/>
      <c r="K1" s="24"/>
      <c r="L1" s="24"/>
      <c r="M1" s="24"/>
      <c r="N1" s="24"/>
      <c r="O1" s="24"/>
    </row>
    <row r="2" ht="24" customHeight="1" spans="1:15" x14ac:dyDescent="0.25">
      <c r="A2" s="25" t="s">
        <v>295</v>
      </c>
      <c r="B2" s="25"/>
      <c r="C2" s="25"/>
      <c r="D2" s="25"/>
      <c r="E2" s="25"/>
      <c r="F2" s="25"/>
      <c r="G2" s="25"/>
      <c r="H2" s="25"/>
      <c r="I2" s="25"/>
      <c r="J2" s="25"/>
      <c r="K2" s="25"/>
      <c r="L2" s="25"/>
      <c r="M2" s="25"/>
      <c r="N2" s="25"/>
      <c r="O2" s="25"/>
    </row>
    <row r="3" ht="20" customHeight="1" spans="1:14" x14ac:dyDescent="0.25">
      <c r="A3" s="6" t="s">
        <v>296</v>
      </c>
      <c r="B3" s="6"/>
      <c r="D3" s="6" t="s">
        <v>284</v>
      </c>
      <c r="E3" s="6"/>
      <c r="G3" s="6" t="s">
        <v>297</v>
      </c>
      <c r="H3" s="6"/>
      <c r="J3" s="6" t="s">
        <v>291</v>
      </c>
      <c r="K3" s="6"/>
      <c r="M3" s="6" t="s">
        <v>298</v>
      </c>
      <c r="N3" s="6"/>
    </row>
    <row r="4" ht="22" customHeight="1" spans="1:14" x14ac:dyDescent="0.25">
      <c r="A4" s="26">
        <f>COUNTIF(J8:J37,"Open")+COUNTIF(J8:J37,"New")</f>
      </c>
      <c r="B4" s="26"/>
      <c r="D4" s="26">
        <f>COUNTIF(J8:J37,"In Progress")</f>
      </c>
      <c r="E4" s="26"/>
      <c r="G4" s="26">
        <f>COUNTIF(J8:J37,"Fixed")+COUNTIF(J8:J37,"Verified")</f>
      </c>
      <c r="H4" s="26"/>
      <c r="J4" s="26">
        <f>COUNTIF(J8:J37,"Closed")</f>
      </c>
      <c r="K4" s="26"/>
      <c r="M4" s="26">
        <f>COUNTA(D8:D37)</f>
      </c>
      <c r="N4" s="26"/>
    </row>
    <row r="5" ht="22" customHeight="1" spans="1:15" x14ac:dyDescent="0.25">
      <c r="A5" s="8" t="s">
        <v>299</v>
      </c>
      <c r="B5" s="8"/>
      <c r="C5" s="8"/>
      <c r="D5" s="8"/>
      <c r="E5" s="8"/>
      <c r="F5" s="8"/>
      <c r="G5" s="8"/>
      <c r="H5" s="8"/>
      <c r="I5" s="8"/>
      <c r="J5" s="8"/>
      <c r="K5" s="8"/>
      <c r="L5" s="8"/>
      <c r="M5" s="8"/>
      <c r="N5" s="8"/>
      <c r="O5" s="8"/>
    </row>
    <row r="6" ht="8" customHeight="1" x14ac:dyDescent="0.25"/>
    <row r="7" ht="28" customHeight="1" spans="1:15" x14ac:dyDescent="0.25">
      <c r="A7" s="16" t="s">
        <v>300</v>
      </c>
      <c r="B7" s="16" t="s">
        <v>301</v>
      </c>
      <c r="C7" s="16" t="s">
        <v>302</v>
      </c>
      <c r="D7" s="16" t="s">
        <v>303</v>
      </c>
      <c r="E7" s="16" t="s">
        <v>304</v>
      </c>
      <c r="F7" s="16" t="s">
        <v>305</v>
      </c>
      <c r="G7" s="16" t="s">
        <v>306</v>
      </c>
      <c r="H7" s="16" t="s">
        <v>307</v>
      </c>
      <c r="I7" s="16" t="s">
        <v>164</v>
      </c>
      <c r="J7" s="16" t="s">
        <v>266</v>
      </c>
      <c r="K7" s="16" t="s">
        <v>308</v>
      </c>
      <c r="L7" s="16" t="s">
        <v>309</v>
      </c>
      <c r="M7" s="16" t="s">
        <v>310</v>
      </c>
      <c r="N7" s="16" t="s">
        <v>311</v>
      </c>
      <c r="O7" s="16" t="s">
        <v>312</v>
      </c>
    </row>
    <row r="8" ht="72" customHeight="1" spans="1:15" x14ac:dyDescent="0.25">
      <c r="A8" s="13" t="s">
        <v>313</v>
      </c>
      <c r="B8" s="13" t="s">
        <v>314</v>
      </c>
      <c r="C8" s="13" t="s">
        <v>315</v>
      </c>
      <c r="D8" s="13" t="s">
        <v>316</v>
      </c>
      <c r="E8" s="13" t="s">
        <v>317</v>
      </c>
      <c r="F8" s="13" t="s">
        <v>318</v>
      </c>
      <c r="G8" s="13" t="s">
        <v>319</v>
      </c>
      <c r="H8" s="13" t="s">
        <v>276</v>
      </c>
      <c r="I8" s="13" t="s">
        <v>169</v>
      </c>
      <c r="J8" s="13" t="s">
        <v>279</v>
      </c>
      <c r="K8" s="13" t="s">
        <v>320</v>
      </c>
      <c r="L8" s="13" t="s">
        <v>321</v>
      </c>
      <c r="M8" s="27">
        <v>46271.77083333333</v>
      </c>
      <c r="N8" s="13" t="s">
        <v>322</v>
      </c>
      <c r="O8" s="13" t="s">
        <v>323</v>
      </c>
    </row>
    <row r="9" ht="72" customHeight="1" spans="1:15" x14ac:dyDescent="0.25">
      <c r="A9" s="13" t="s">
        <v>324</v>
      </c>
      <c r="B9" s="13" t="s">
        <v>325</v>
      </c>
      <c r="C9" s="13" t="s">
        <v>48</v>
      </c>
      <c r="D9" s="13" t="s">
        <v>326</v>
      </c>
      <c r="E9" s="13" t="s">
        <v>327</v>
      </c>
      <c r="F9" s="13" t="s">
        <v>328</v>
      </c>
      <c r="G9" s="13" t="s">
        <v>329</v>
      </c>
      <c r="H9" s="13" t="s">
        <v>276</v>
      </c>
      <c r="I9" s="13" t="s">
        <v>169</v>
      </c>
      <c r="J9" s="13" t="s">
        <v>279</v>
      </c>
      <c r="K9" s="13" t="s">
        <v>320</v>
      </c>
      <c r="L9" s="13" t="s">
        <v>321</v>
      </c>
      <c r="M9" s="27">
        <v>46271.77083333333</v>
      </c>
      <c r="N9" s="13" t="s">
        <v>330</v>
      </c>
      <c r="O9" s="13" t="s">
        <v>323</v>
      </c>
    </row>
    <row r="10" ht="72" customHeight="1" spans="1:15" x14ac:dyDescent="0.25">
      <c r="A10" s="13" t="s">
        <v>331</v>
      </c>
      <c r="B10" s="13" t="s">
        <v>332</v>
      </c>
      <c r="C10" s="13" t="s">
        <v>51</v>
      </c>
      <c r="D10" s="13" t="s">
        <v>333</v>
      </c>
      <c r="E10" s="13" t="s">
        <v>334</v>
      </c>
      <c r="F10" s="13" t="s">
        <v>335</v>
      </c>
      <c r="G10" s="13" t="s">
        <v>336</v>
      </c>
      <c r="H10" s="13" t="s">
        <v>276</v>
      </c>
      <c r="I10" s="13" t="s">
        <v>169</v>
      </c>
      <c r="J10" s="13" t="s">
        <v>279</v>
      </c>
      <c r="K10" s="13" t="s">
        <v>320</v>
      </c>
      <c r="L10" s="13" t="s">
        <v>321</v>
      </c>
      <c r="M10" s="27">
        <v>46271.77083333333</v>
      </c>
      <c r="N10" s="13" t="s">
        <v>337</v>
      </c>
      <c r="O10" s="13" t="s">
        <v>323</v>
      </c>
    </row>
    <row r="11" ht="72" customHeight="1" spans="1:15" x14ac:dyDescent="0.25">
      <c r="A11" s="13" t="s">
        <v>338</v>
      </c>
      <c r="B11" s="13" t="s">
        <v>339</v>
      </c>
      <c r="C11" s="13" t="s">
        <v>340</v>
      </c>
      <c r="D11" s="13" t="s">
        <v>341</v>
      </c>
      <c r="E11" s="13" t="s">
        <v>342</v>
      </c>
      <c r="F11" s="13" t="s">
        <v>343</v>
      </c>
      <c r="G11" s="13" t="s">
        <v>344</v>
      </c>
      <c r="H11" s="13" t="s">
        <v>276</v>
      </c>
      <c r="I11" s="13" t="s">
        <v>169</v>
      </c>
      <c r="J11" s="13" t="s">
        <v>279</v>
      </c>
      <c r="K11" s="13" t="s">
        <v>320</v>
      </c>
      <c r="L11" s="13" t="s">
        <v>321</v>
      </c>
      <c r="M11" s="27">
        <v>46271.77083333333</v>
      </c>
      <c r="N11" s="13" t="s">
        <v>345</v>
      </c>
      <c r="O11" s="13" t="s">
        <v>323</v>
      </c>
    </row>
    <row r="12" ht="36" customHeight="1" spans="1:15" x14ac:dyDescent="0.25">
      <c r="A12" s="7" t="s">
        <v>346</v>
      </c>
      <c r="B12" s="5"/>
      <c r="C12" s="5"/>
      <c r="D12" s="5"/>
      <c r="E12" s="5"/>
      <c r="F12" s="5"/>
      <c r="G12" s="5"/>
      <c r="H12" s="5"/>
      <c r="I12" s="5"/>
      <c r="J12" s="5"/>
      <c r="K12" s="5"/>
      <c r="L12" s="5"/>
      <c r="M12" s="5"/>
      <c r="N12" s="5"/>
      <c r="O12" s="5"/>
    </row>
    <row r="13" ht="36" customHeight="1" spans="1:15" x14ac:dyDescent="0.25">
      <c r="A13" s="7" t="s">
        <v>347</v>
      </c>
      <c r="B13" s="7"/>
      <c r="C13" s="7"/>
      <c r="D13" s="7"/>
      <c r="E13" s="7"/>
      <c r="F13" s="7"/>
      <c r="G13" s="7"/>
      <c r="H13" s="7"/>
      <c r="I13" s="7"/>
      <c r="J13" s="7"/>
      <c r="K13" s="7"/>
      <c r="L13" s="7"/>
      <c r="M13" s="7"/>
      <c r="N13" s="7"/>
      <c r="O13" s="7"/>
    </row>
    <row r="14" ht="36" customHeight="1" spans="1:15" x14ac:dyDescent="0.25">
      <c r="A14" s="7" t="s">
        <v>348</v>
      </c>
      <c r="B14" s="5"/>
      <c r="C14" s="5"/>
      <c r="D14" s="5"/>
      <c r="E14" s="5"/>
      <c r="F14" s="5"/>
      <c r="G14" s="5"/>
      <c r="H14" s="5"/>
      <c r="I14" s="5"/>
      <c r="J14" s="5"/>
      <c r="K14" s="5"/>
      <c r="L14" s="5"/>
      <c r="M14" s="5"/>
      <c r="N14" s="5"/>
      <c r="O14" s="5"/>
    </row>
    <row r="15" ht="36" customHeight="1" spans="1:15" x14ac:dyDescent="0.25">
      <c r="A15" s="7" t="s">
        <v>349</v>
      </c>
      <c r="B15" s="7"/>
      <c r="C15" s="7"/>
      <c r="D15" s="7"/>
      <c r="E15" s="7"/>
      <c r="F15" s="7"/>
      <c r="G15" s="7"/>
      <c r="H15" s="7"/>
      <c r="I15" s="7"/>
      <c r="J15" s="7"/>
      <c r="K15" s="7"/>
      <c r="L15" s="7"/>
      <c r="M15" s="7"/>
      <c r="N15" s="7"/>
      <c r="O15" s="7"/>
    </row>
    <row r="16" ht="36" customHeight="1" spans="1:15" x14ac:dyDescent="0.25">
      <c r="A16" s="7" t="s">
        <v>350</v>
      </c>
      <c r="B16" s="5"/>
      <c r="C16" s="5"/>
      <c r="D16" s="5"/>
      <c r="E16" s="5"/>
      <c r="F16" s="5"/>
      <c r="G16" s="5"/>
      <c r="H16" s="5"/>
      <c r="I16" s="5"/>
      <c r="J16" s="5"/>
      <c r="K16" s="5"/>
      <c r="L16" s="5"/>
      <c r="M16" s="5"/>
      <c r="N16" s="5"/>
      <c r="O16" s="5"/>
    </row>
    <row r="17" ht="36" customHeight="1" spans="1:15" x14ac:dyDescent="0.25">
      <c r="A17" s="7" t="s">
        <v>351</v>
      </c>
      <c r="B17" s="7"/>
      <c r="C17" s="7"/>
      <c r="D17" s="7"/>
      <c r="E17" s="7"/>
      <c r="F17" s="7"/>
      <c r="G17" s="7"/>
      <c r="H17" s="7"/>
      <c r="I17" s="7"/>
      <c r="J17" s="7"/>
      <c r="K17" s="7"/>
      <c r="L17" s="7"/>
      <c r="M17" s="7"/>
      <c r="N17" s="7"/>
      <c r="O17" s="7"/>
    </row>
    <row r="18" ht="36" customHeight="1" spans="1:15" x14ac:dyDescent="0.25">
      <c r="A18" s="7" t="s">
        <v>352</v>
      </c>
      <c r="B18" s="5"/>
      <c r="C18" s="5"/>
      <c r="D18" s="5"/>
      <c r="E18" s="5"/>
      <c r="F18" s="5"/>
      <c r="G18" s="5"/>
      <c r="H18" s="5"/>
      <c r="I18" s="5"/>
      <c r="J18" s="5"/>
      <c r="K18" s="5"/>
      <c r="L18" s="5"/>
      <c r="M18" s="5"/>
      <c r="N18" s="5"/>
      <c r="O18" s="5"/>
    </row>
    <row r="19" ht="36" customHeight="1" spans="1:15" x14ac:dyDescent="0.25">
      <c r="A19" s="7" t="s">
        <v>353</v>
      </c>
      <c r="B19" s="7"/>
      <c r="C19" s="7"/>
      <c r="D19" s="7"/>
      <c r="E19" s="7"/>
      <c r="F19" s="7"/>
      <c r="G19" s="7"/>
      <c r="H19" s="7"/>
      <c r="I19" s="7"/>
      <c r="J19" s="7"/>
      <c r="K19" s="7"/>
      <c r="L19" s="7"/>
      <c r="M19" s="7"/>
      <c r="N19" s="7"/>
      <c r="O19" s="7"/>
    </row>
    <row r="20" ht="36" customHeight="1" spans="1:15" x14ac:dyDescent="0.25">
      <c r="A20" s="7" t="s">
        <v>354</v>
      </c>
      <c r="B20" s="5"/>
      <c r="C20" s="5"/>
      <c r="D20" s="5"/>
      <c r="E20" s="5"/>
      <c r="F20" s="5"/>
      <c r="G20" s="5"/>
      <c r="H20" s="5"/>
      <c r="I20" s="5"/>
      <c r="J20" s="5"/>
      <c r="K20" s="5"/>
      <c r="L20" s="5"/>
      <c r="M20" s="5"/>
      <c r="N20" s="5"/>
      <c r="O20" s="5"/>
    </row>
    <row r="21" ht="36" customHeight="1" spans="1:15" x14ac:dyDescent="0.25">
      <c r="A21" s="7" t="s">
        <v>355</v>
      </c>
      <c r="B21" s="7"/>
      <c r="C21" s="7"/>
      <c r="D21" s="7"/>
      <c r="E21" s="7"/>
      <c r="F21" s="7"/>
      <c r="G21" s="7"/>
      <c r="H21" s="7"/>
      <c r="I21" s="7"/>
      <c r="J21" s="7"/>
      <c r="K21" s="7"/>
      <c r="L21" s="7"/>
      <c r="M21" s="7"/>
      <c r="N21" s="7"/>
      <c r="O21" s="7"/>
    </row>
    <row r="22" ht="36" customHeight="1" spans="1:15" x14ac:dyDescent="0.25">
      <c r="A22" s="7" t="s">
        <v>356</v>
      </c>
      <c r="B22" s="5"/>
      <c r="C22" s="5"/>
      <c r="D22" s="5"/>
      <c r="E22" s="5"/>
      <c r="F22" s="5"/>
      <c r="G22" s="5"/>
      <c r="H22" s="5"/>
      <c r="I22" s="5"/>
      <c r="J22" s="5"/>
      <c r="K22" s="5"/>
      <c r="L22" s="5"/>
      <c r="M22" s="5"/>
      <c r="N22" s="5"/>
      <c r="O22" s="5"/>
    </row>
    <row r="23" ht="36" customHeight="1" spans="1:15" x14ac:dyDescent="0.25">
      <c r="A23" s="7" t="s">
        <v>357</v>
      </c>
      <c r="B23" s="7"/>
      <c r="C23" s="7"/>
      <c r="D23" s="7"/>
      <c r="E23" s="7"/>
      <c r="F23" s="7"/>
      <c r="G23" s="7"/>
      <c r="H23" s="7"/>
      <c r="I23" s="7"/>
      <c r="J23" s="7"/>
      <c r="K23" s="7"/>
      <c r="L23" s="7"/>
      <c r="M23" s="7"/>
      <c r="N23" s="7"/>
      <c r="O23" s="7"/>
    </row>
    <row r="24" ht="36" customHeight="1" spans="1:15" x14ac:dyDescent="0.25">
      <c r="A24" s="7" t="s">
        <v>358</v>
      </c>
      <c r="B24" s="5"/>
      <c r="C24" s="5"/>
      <c r="D24" s="5"/>
      <c r="E24" s="5"/>
      <c r="F24" s="5"/>
      <c r="G24" s="5"/>
      <c r="H24" s="5"/>
      <c r="I24" s="5"/>
      <c r="J24" s="5"/>
      <c r="K24" s="5"/>
      <c r="L24" s="5"/>
      <c r="M24" s="5"/>
      <c r="N24" s="5"/>
      <c r="O24" s="5"/>
    </row>
    <row r="25" ht="36" customHeight="1" spans="1:15" x14ac:dyDescent="0.25">
      <c r="A25" s="7" t="s">
        <v>359</v>
      </c>
      <c r="B25" s="7"/>
      <c r="C25" s="7"/>
      <c r="D25" s="7"/>
      <c r="E25" s="7"/>
      <c r="F25" s="7"/>
      <c r="G25" s="7"/>
      <c r="H25" s="7"/>
      <c r="I25" s="7"/>
      <c r="J25" s="7"/>
      <c r="K25" s="7"/>
      <c r="L25" s="7"/>
      <c r="M25" s="7"/>
      <c r="N25" s="7"/>
      <c r="O25" s="7"/>
    </row>
    <row r="26" ht="36" customHeight="1" spans="1:15" x14ac:dyDescent="0.25">
      <c r="A26" s="7" t="s">
        <v>360</v>
      </c>
      <c r="B26" s="5"/>
      <c r="C26" s="5"/>
      <c r="D26" s="5"/>
      <c r="E26" s="5"/>
      <c r="F26" s="5"/>
      <c r="G26" s="5"/>
      <c r="H26" s="5"/>
      <c r="I26" s="5"/>
      <c r="J26" s="5"/>
      <c r="K26" s="5"/>
      <c r="L26" s="5"/>
      <c r="M26" s="5"/>
      <c r="N26" s="5"/>
      <c r="O26" s="5"/>
    </row>
    <row r="27" ht="36" customHeight="1" spans="1:15" x14ac:dyDescent="0.25">
      <c r="A27" s="7" t="s">
        <v>361</v>
      </c>
      <c r="B27" s="7"/>
      <c r="C27" s="7"/>
      <c r="D27" s="7"/>
      <c r="E27" s="7"/>
      <c r="F27" s="7"/>
      <c r="G27" s="7"/>
      <c r="H27" s="7"/>
      <c r="I27" s="7"/>
      <c r="J27" s="7"/>
      <c r="K27" s="7"/>
      <c r="L27" s="7"/>
      <c r="M27" s="7"/>
      <c r="N27" s="7"/>
      <c r="O27" s="7"/>
    </row>
    <row r="28" ht="36" customHeight="1" spans="1:15" x14ac:dyDescent="0.25">
      <c r="A28" s="7" t="s">
        <v>362</v>
      </c>
      <c r="B28" s="5"/>
      <c r="C28" s="5"/>
      <c r="D28" s="5"/>
      <c r="E28" s="5"/>
      <c r="F28" s="5"/>
      <c r="G28" s="5"/>
      <c r="H28" s="5"/>
      <c r="I28" s="5"/>
      <c r="J28" s="5"/>
      <c r="K28" s="5"/>
      <c r="L28" s="5"/>
      <c r="M28" s="5"/>
      <c r="N28" s="5"/>
      <c r="O28" s="5"/>
    </row>
    <row r="29" ht="36" customHeight="1" spans="1:15" x14ac:dyDescent="0.25">
      <c r="A29" s="7" t="s">
        <v>363</v>
      </c>
      <c r="B29" s="7"/>
      <c r="C29" s="7"/>
      <c r="D29" s="7"/>
      <c r="E29" s="7"/>
      <c r="F29" s="7"/>
      <c r="G29" s="7"/>
      <c r="H29" s="7"/>
      <c r="I29" s="7"/>
      <c r="J29" s="7"/>
      <c r="K29" s="7"/>
      <c r="L29" s="7"/>
      <c r="M29" s="7"/>
      <c r="N29" s="7"/>
      <c r="O29" s="7"/>
    </row>
    <row r="30" ht="36" customHeight="1" spans="1:15" x14ac:dyDescent="0.25">
      <c r="A30" s="7" t="s">
        <v>364</v>
      </c>
      <c r="B30" s="5"/>
      <c r="C30" s="5"/>
      <c r="D30" s="5"/>
      <c r="E30" s="5"/>
      <c r="F30" s="5"/>
      <c r="G30" s="5"/>
      <c r="H30" s="5"/>
      <c r="I30" s="5"/>
      <c r="J30" s="5"/>
      <c r="K30" s="5"/>
      <c r="L30" s="5"/>
      <c r="M30" s="5"/>
      <c r="N30" s="5"/>
      <c r="O30" s="5"/>
    </row>
    <row r="31" ht="36" customHeight="1" spans="1:15" x14ac:dyDescent="0.25">
      <c r="A31" s="7" t="s">
        <v>365</v>
      </c>
      <c r="B31" s="7"/>
      <c r="C31" s="7"/>
      <c r="D31" s="7"/>
      <c r="E31" s="7"/>
      <c r="F31" s="7"/>
      <c r="G31" s="7"/>
      <c r="H31" s="7"/>
      <c r="I31" s="7"/>
      <c r="J31" s="7"/>
      <c r="K31" s="7"/>
      <c r="L31" s="7"/>
      <c r="M31" s="7"/>
      <c r="N31" s="7"/>
      <c r="O31" s="7"/>
    </row>
    <row r="32" ht="36" customHeight="1" spans="1:15" x14ac:dyDescent="0.25">
      <c r="A32" s="7" t="s">
        <v>366</v>
      </c>
      <c r="B32" s="5"/>
      <c r="C32" s="5"/>
      <c r="D32" s="5"/>
      <c r="E32" s="5"/>
      <c r="F32" s="5"/>
      <c r="G32" s="5"/>
      <c r="H32" s="5"/>
      <c r="I32" s="5"/>
      <c r="J32" s="5"/>
      <c r="K32" s="5"/>
      <c r="L32" s="5"/>
      <c r="M32" s="5"/>
      <c r="N32" s="5"/>
      <c r="O32" s="5"/>
    </row>
    <row r="33" ht="36" customHeight="1" spans="1:15" x14ac:dyDescent="0.25">
      <c r="A33" s="7" t="s">
        <v>367</v>
      </c>
      <c r="B33" s="7"/>
      <c r="C33" s="7"/>
      <c r="D33" s="7"/>
      <c r="E33" s="7"/>
      <c r="F33" s="7"/>
      <c r="G33" s="7"/>
      <c r="H33" s="7"/>
      <c r="I33" s="7"/>
      <c r="J33" s="7"/>
      <c r="K33" s="7"/>
      <c r="L33" s="7"/>
      <c r="M33" s="7"/>
      <c r="N33" s="7"/>
      <c r="O33" s="7"/>
    </row>
    <row r="34" ht="36" customHeight="1" spans="1:15" x14ac:dyDescent="0.25">
      <c r="A34" s="7" t="s">
        <v>368</v>
      </c>
      <c r="B34" s="5"/>
      <c r="C34" s="5"/>
      <c r="D34" s="5"/>
      <c r="E34" s="5"/>
      <c r="F34" s="5"/>
      <c r="G34" s="5"/>
      <c r="H34" s="5"/>
      <c r="I34" s="5"/>
      <c r="J34" s="5"/>
      <c r="K34" s="5"/>
      <c r="L34" s="5"/>
      <c r="M34" s="5"/>
      <c r="N34" s="5"/>
      <c r="O34" s="5"/>
    </row>
    <row r="35" ht="36" customHeight="1" spans="1:15" x14ac:dyDescent="0.25">
      <c r="A35" s="7" t="s">
        <v>369</v>
      </c>
      <c r="B35" s="7"/>
      <c r="C35" s="7"/>
      <c r="D35" s="7"/>
      <c r="E35" s="7"/>
      <c r="F35" s="7"/>
      <c r="G35" s="7"/>
      <c r="H35" s="7"/>
      <c r="I35" s="7"/>
      <c r="J35" s="7"/>
      <c r="K35" s="7"/>
      <c r="L35" s="7"/>
      <c r="M35" s="7"/>
      <c r="N35" s="7"/>
      <c r="O35" s="7"/>
    </row>
    <row r="36" ht="36" customHeight="1" spans="1:15" x14ac:dyDescent="0.25">
      <c r="A36" s="7" t="s">
        <v>370</v>
      </c>
      <c r="B36" s="5"/>
      <c r="C36" s="5"/>
      <c r="D36" s="5"/>
      <c r="E36" s="5"/>
      <c r="F36" s="5"/>
      <c r="G36" s="5"/>
      <c r="H36" s="5"/>
      <c r="I36" s="5"/>
      <c r="J36" s="5"/>
      <c r="K36" s="5"/>
      <c r="L36" s="5"/>
      <c r="M36" s="5"/>
      <c r="N36" s="5"/>
      <c r="O36" s="5"/>
    </row>
    <row r="37" ht="36" customHeight="1" spans="1:15" x14ac:dyDescent="0.25">
      <c r="A37" s="7" t="s">
        <v>371</v>
      </c>
      <c r="B37" s="7"/>
      <c r="C37" s="7"/>
      <c r="D37" s="7"/>
      <c r="E37" s="7"/>
      <c r="F37" s="7"/>
      <c r="G37" s="7"/>
      <c r="H37" s="7"/>
      <c r="I37" s="7"/>
      <c r="J37" s="7"/>
      <c r="K37" s="7"/>
      <c r="L37" s="7"/>
      <c r="M37" s="7"/>
      <c r="N37" s="7"/>
      <c r="O37" s="7"/>
    </row>
  </sheetData>
  <autoFilter ref="A7:O37"/>
  <mergeCells count="13">
    <mergeCell ref="A1:O1"/>
    <mergeCell ref="A2:O2"/>
    <mergeCell ref="A3:B3"/>
    <mergeCell ref="D3:E3"/>
    <mergeCell ref="G3:H3"/>
    <mergeCell ref="J3:K3"/>
    <mergeCell ref="M3:N3"/>
    <mergeCell ref="A4:B4"/>
    <mergeCell ref="D4:E4"/>
    <mergeCell ref="G4:H4"/>
    <mergeCell ref="J4:K4"/>
    <mergeCell ref="M4:N4"/>
    <mergeCell ref="A5:O5"/>
  </mergeCells>
  <conditionalFormatting sqref="J8:J37">
    <cfRule type="containsText" dxfId="5" priority="1">
      <formula>NOT(ISERROR(SEARCH("Open",J8)))</formula>
    </cfRule>
    <cfRule type="containsText" dxfId="6" priority="2">
      <formula>NOT(ISERROR(SEARCH("New",J8)))</formula>
    </cfRule>
    <cfRule type="containsText" dxfId="7" priority="3">
      <formula>NOT(ISERROR(SEARCH("Fixed",J8)))</formula>
    </cfRule>
    <cfRule type="containsText" dxfId="8" priority="4">
      <formula>NOT(ISERROR(SEARCH("Closed",J8)))</formula>
    </cfRule>
    <cfRule type="containsText" dxfId="9" priority="5">
      <formula>NOT(ISERROR(SEARCH("Verified",J8)))</formula>
    </cfRule>
  </conditionalFormatting>
  <dataValidations count="3">
    <dataValidation type="list" allowBlank="1" sqref="H8:H37">
      <formula1>LISTS!$G$2:$G$5</formula1>
    </dataValidation>
    <dataValidation type="list" allowBlank="1" sqref="I8:I37">
      <formula1>LISTS!$H$2:$H$5</formula1>
    </dataValidation>
    <dataValidation type="list" allowBlank="1" sqref="J8:J37">
      <formula1>LISTS!$F$2:$F$9</formula1>
    </dataValidation>
  </dataValidations>
  <pageMargins left="0.7" right="0.7" top="0.75" bottom="0.75" header="0.3" footer="0.3"/>
  <pageSetup orientation="landscape"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6"/>
  <sheetViews>
    <sheetView workbookViewId="0" showGridLines="0">
      <pane ySplit="7" topLeftCell="A8" activePane="bottomLeft" state="frozen"/>
      <selection pane="bottomLeft"/>
    </sheetView>
  </sheetViews>
  <sheetFormatPr defaultRowHeight="15" outlineLevelRow="0" outlineLevelCol="0" x14ac:dyDescent="55"/>
  <cols>
    <col min="1" max="1" width="16" customWidth="1"/>
    <col min="2" max="2" width="22" customWidth="1"/>
    <col min="3" max="3" width="32" customWidth="1"/>
    <col min="4" max="4" width="40" customWidth="1"/>
    <col min="5" max="5" width="44" customWidth="1"/>
    <col min="6" max="6" width="36" customWidth="1"/>
    <col min="7" max="7" width="44" customWidth="1"/>
    <col min="8" max="8" width="36" customWidth="1"/>
    <col min="9" max="9" width="16" customWidth="1"/>
    <col min="10" max="11" width="12" customWidth="1"/>
    <col min="12" max="13" width="16" customWidth="1"/>
    <col min="14" max="14" width="36" customWidth="1"/>
    <col min="15" max="15" width="40" customWidth="1"/>
    <col min="16" max="16" width="16" customWidth="1"/>
    <col min="17" max="18" width="14" customWidth="1"/>
    <col min="19" max="19" width="22" customWidth="1"/>
  </cols>
  <sheetData>
    <row r="1" ht="28" customHeight="1" spans="1:19" x14ac:dyDescent="0.25">
      <c r="A1" s="24" t="s">
        <v>372</v>
      </c>
      <c r="B1" s="24"/>
      <c r="C1" s="24"/>
      <c r="D1" s="24"/>
      <c r="E1" s="24"/>
      <c r="F1" s="24"/>
      <c r="G1" s="24"/>
      <c r="H1" s="24"/>
      <c r="I1" s="24"/>
      <c r="J1" s="24"/>
      <c r="K1" s="24"/>
      <c r="L1" s="24"/>
      <c r="M1" s="24"/>
      <c r="N1" s="24"/>
      <c r="O1" s="24"/>
      <c r="P1" s="24"/>
      <c r="Q1" s="24"/>
      <c r="R1" s="24"/>
      <c r="S1" s="24"/>
    </row>
    <row r="2" ht="22" customHeight="1" spans="1:19" x14ac:dyDescent="0.25">
      <c r="A2" s="2" t="s">
        <v>373</v>
      </c>
      <c r="B2" s="2"/>
      <c r="C2" s="2"/>
      <c r="D2" s="2"/>
      <c r="E2" s="2"/>
      <c r="F2" s="2"/>
      <c r="G2" s="2"/>
      <c r="H2" s="2"/>
      <c r="I2" s="2"/>
      <c r="J2" s="2"/>
      <c r="K2" s="2"/>
      <c r="L2" s="2"/>
      <c r="M2" s="2"/>
      <c r="N2" s="2"/>
      <c r="O2" s="2"/>
      <c r="P2" s="2"/>
      <c r="Q2" s="2"/>
      <c r="R2" s="2"/>
      <c r="S2" s="2"/>
    </row>
    <row r="3" ht="22" customHeight="1" spans="1:19" x14ac:dyDescent="0.25">
      <c r="A3" s="2">
        <f>"Total cases: 87  |  Executed: "&amp;COUNTIF(I8:I500,"&lt;&gt;Not Executed")-COUNTIF(I8:I500,"")&amp;"  |  Pass: "&amp;COUNTIF(I8:I500,"Pass")&amp;"  |  Fail: "&amp;COUNTIF(I8:I500,"Fail")&amp;"  |  Blocked: "&amp;COUNTIF(I8:I500,"Blocked")&amp;"  |  Pass %: "&amp;IF(COUNTIF(I8:I500,"Pass")+COUNTIF(I8:I500,"Fail")+COUNTIF(I8:I500,"Pass with Note")+COUNTIF(I8:I500,"Blocked")=0,"—",TEXT(COUNTIF(I8:I500,"Pass")/(COUNTIF(I8:I500,"Pass")+COUNTIF(I8:I500,"Fail")+COUNTIF(I8:I500,"Pass with Note")+COUNTIF(I8:I500,"Blocked")),"0%"))</f>
      </c>
      <c r="B3" s="2"/>
      <c r="C3" s="2"/>
      <c r="D3" s="2"/>
      <c r="E3" s="2"/>
      <c r="F3" s="2"/>
      <c r="G3" s="2"/>
      <c r="H3" s="2"/>
      <c r="I3" s="2"/>
      <c r="J3" s="2"/>
      <c r="K3" s="2"/>
      <c r="L3" s="2"/>
      <c r="M3" s="2"/>
      <c r="N3" s="2"/>
      <c r="O3" s="2"/>
      <c r="P3" s="2"/>
      <c r="Q3" s="2"/>
      <c r="R3" s="2"/>
      <c r="S3" s="2"/>
    </row>
    <row r="4" ht="8" customHeight="1" x14ac:dyDescent="0.25"/>
    <row r="5" ht="22" customHeight="1" spans="1:19" x14ac:dyDescent="0.25">
      <c r="A5" s="8" t="s">
        <v>374</v>
      </c>
      <c r="B5" s="8"/>
      <c r="C5" s="8"/>
      <c r="D5" s="8"/>
      <c r="E5" s="8"/>
      <c r="F5" s="8"/>
      <c r="G5" s="8"/>
      <c r="H5" s="8"/>
      <c r="I5" s="8"/>
      <c r="J5" s="8"/>
      <c r="K5" s="8"/>
      <c r="L5" s="8"/>
      <c r="M5" s="8"/>
      <c r="N5" s="8"/>
      <c r="O5" s="8"/>
      <c r="P5" s="8"/>
      <c r="Q5" s="8"/>
      <c r="R5" s="8"/>
      <c r="S5" s="8"/>
    </row>
    <row r="6" ht="8" customHeight="1" x14ac:dyDescent="0.25"/>
    <row r="7" ht="28" customHeight="1" spans="1:19" x14ac:dyDescent="0.25">
      <c r="A7" s="16" t="s">
        <v>375</v>
      </c>
      <c r="B7" s="16" t="s">
        <v>376</v>
      </c>
      <c r="C7" s="16" t="s">
        <v>377</v>
      </c>
      <c r="D7" s="16" t="s">
        <v>378</v>
      </c>
      <c r="E7" s="16" t="s">
        <v>379</v>
      </c>
      <c r="F7" s="16" t="s">
        <v>380</v>
      </c>
      <c r="G7" s="16" t="s">
        <v>305</v>
      </c>
      <c r="H7" s="16" t="s">
        <v>306</v>
      </c>
      <c r="I7" s="16" t="s">
        <v>125</v>
      </c>
      <c r="J7" s="16" t="s">
        <v>164</v>
      </c>
      <c r="K7" s="16" t="s">
        <v>34</v>
      </c>
      <c r="L7" s="16" t="s">
        <v>265</v>
      </c>
      <c r="M7" s="16" t="s">
        <v>264</v>
      </c>
      <c r="N7" s="16" t="s">
        <v>381</v>
      </c>
      <c r="O7" s="16" t="s">
        <v>382</v>
      </c>
      <c r="P7" s="16" t="s">
        <v>383</v>
      </c>
      <c r="Q7" s="16" t="s">
        <v>384</v>
      </c>
      <c r="R7" s="16" t="s">
        <v>300</v>
      </c>
      <c r="S7" s="16" t="s">
        <v>312</v>
      </c>
    </row>
    <row r="8" ht="22" customHeight="1" spans="1:7" x14ac:dyDescent="0.25">
      <c r="A8" s="28" t="s">
        <v>385</v>
      </c>
      <c r="B8" s="28"/>
      <c r="C8" s="28"/>
      <c r="D8" s="28"/>
      <c r="E8" s="28"/>
      <c r="F8" s="28"/>
      <c r="G8" s="28"/>
    </row>
    <row r="9" ht="72" customHeight="1" spans="1:19" x14ac:dyDescent="0.25">
      <c r="A9" s="7" t="s">
        <v>386</v>
      </c>
      <c r="B9" s="7" t="s">
        <v>387</v>
      </c>
      <c r="C9" s="7" t="s">
        <v>388</v>
      </c>
      <c r="D9" s="7" t="s">
        <v>389</v>
      </c>
      <c r="E9" s="7" t="s">
        <v>390</v>
      </c>
      <c r="F9" s="7" t="s">
        <v>391</v>
      </c>
      <c r="G9" s="7" t="s">
        <v>392</v>
      </c>
      <c r="H9" s="7" t="s">
        <v>393</v>
      </c>
      <c r="I9" s="7" t="s">
        <v>275</v>
      </c>
      <c r="J9" s="7" t="s">
        <v>270</v>
      </c>
      <c r="K9" s="7" t="s">
        <v>191</v>
      </c>
      <c r="L9" s="7" t="s">
        <v>287</v>
      </c>
      <c r="M9" s="7" t="s">
        <v>73</v>
      </c>
      <c r="N9" s="7" t="s">
        <v>196</v>
      </c>
      <c r="O9" s="7" t="s">
        <v>394</v>
      </c>
      <c r="P9" s="7" t="s">
        <v>321</v>
      </c>
      <c r="Q9" s="29">
        <v>46271.77083333333</v>
      </c>
      <c r="R9" s="7" t="s">
        <v>323</v>
      </c>
      <c r="S9" s="7" t="s">
        <v>323</v>
      </c>
    </row>
    <row r="10" ht="72" customHeight="1" spans="1:19" x14ac:dyDescent="0.25">
      <c r="A10" s="5" t="s">
        <v>395</v>
      </c>
      <c r="B10" s="5" t="s">
        <v>396</v>
      </c>
      <c r="C10" s="5" t="s">
        <v>397</v>
      </c>
      <c r="D10" s="5" t="s">
        <v>398</v>
      </c>
      <c r="E10" s="5" t="s">
        <v>399</v>
      </c>
      <c r="F10" s="5" t="s">
        <v>400</v>
      </c>
      <c r="G10" s="5" t="s">
        <v>401</v>
      </c>
      <c r="H10" s="5" t="s">
        <v>402</v>
      </c>
      <c r="I10" s="5" t="s">
        <v>280</v>
      </c>
      <c r="J10" s="5" t="s">
        <v>270</v>
      </c>
      <c r="K10" s="5" t="s">
        <v>191</v>
      </c>
      <c r="L10" s="5" t="s">
        <v>278</v>
      </c>
      <c r="M10" s="5" t="s">
        <v>69</v>
      </c>
      <c r="N10" s="5" t="s">
        <v>403</v>
      </c>
      <c r="O10" s="5" t="s">
        <v>404</v>
      </c>
      <c r="P10" s="5" t="s">
        <v>321</v>
      </c>
      <c r="Q10" s="30">
        <v>46271.77083333333</v>
      </c>
      <c r="R10" s="5" t="s">
        <v>313</v>
      </c>
      <c r="S10" s="5" t="s">
        <v>405</v>
      </c>
    </row>
    <row r="11" ht="72" customHeight="1" spans="1:19" x14ac:dyDescent="0.25">
      <c r="A11" s="7" t="s">
        <v>406</v>
      </c>
      <c r="B11" s="7" t="s">
        <v>407</v>
      </c>
      <c r="C11" s="7" t="s">
        <v>408</v>
      </c>
      <c r="D11" s="7" t="s">
        <v>409</v>
      </c>
      <c r="E11" s="7" t="s">
        <v>410</v>
      </c>
      <c r="F11" s="7" t="s">
        <v>411</v>
      </c>
      <c r="G11" s="7" t="s">
        <v>412</v>
      </c>
      <c r="H11" s="7" t="s">
        <v>413</v>
      </c>
      <c r="I11" s="7" t="s">
        <v>275</v>
      </c>
      <c r="J11" s="7" t="s">
        <v>276</v>
      </c>
      <c r="K11" s="7" t="s">
        <v>191</v>
      </c>
      <c r="L11" s="7" t="s">
        <v>287</v>
      </c>
      <c r="M11" s="7" t="s">
        <v>73</v>
      </c>
      <c r="N11" s="7" t="s">
        <v>196</v>
      </c>
      <c r="O11" s="7" t="s">
        <v>414</v>
      </c>
      <c r="P11" s="7" t="s">
        <v>321</v>
      </c>
      <c r="Q11" s="29">
        <v>46271.77083333333</v>
      </c>
      <c r="R11" s="7" t="s">
        <v>323</v>
      </c>
      <c r="S11" s="7" t="s">
        <v>323</v>
      </c>
    </row>
    <row r="12" ht="72" customHeight="1" spans="1:19" x14ac:dyDescent="0.25">
      <c r="A12" s="5" t="s">
        <v>415</v>
      </c>
      <c r="B12" s="5" t="s">
        <v>416</v>
      </c>
      <c r="C12" s="5" t="s">
        <v>417</v>
      </c>
      <c r="D12" s="5" t="s">
        <v>418</v>
      </c>
      <c r="E12" s="5" t="s">
        <v>419</v>
      </c>
      <c r="F12" s="5" t="s">
        <v>420</v>
      </c>
      <c r="G12" s="5" t="s">
        <v>421</v>
      </c>
      <c r="H12" s="5" t="s">
        <v>323</v>
      </c>
      <c r="I12" s="5" t="s">
        <v>269</v>
      </c>
      <c r="J12" s="5" t="s">
        <v>281</v>
      </c>
      <c r="K12" s="5" t="s">
        <v>191</v>
      </c>
      <c r="L12" s="5" t="s">
        <v>287</v>
      </c>
      <c r="M12" s="5" t="s">
        <v>73</v>
      </c>
      <c r="N12" s="5" t="s">
        <v>196</v>
      </c>
      <c r="O12" s="5" t="s">
        <v>422</v>
      </c>
      <c r="P12" s="5" t="s">
        <v>323</v>
      </c>
      <c r="Q12" s="5" t="s">
        <v>323</v>
      </c>
      <c r="R12" s="5" t="s">
        <v>323</v>
      </c>
      <c r="S12" s="5" t="s">
        <v>323</v>
      </c>
    </row>
    <row r="13" ht="72" customHeight="1" spans="1:19" x14ac:dyDescent="0.25">
      <c r="A13" s="7" t="s">
        <v>423</v>
      </c>
      <c r="B13" s="7" t="s">
        <v>424</v>
      </c>
      <c r="C13" s="7" t="s">
        <v>425</v>
      </c>
      <c r="D13" s="7" t="s">
        <v>426</v>
      </c>
      <c r="E13" s="7" t="s">
        <v>427</v>
      </c>
      <c r="F13" s="7" t="s">
        <v>428</v>
      </c>
      <c r="G13" s="7" t="s">
        <v>429</v>
      </c>
      <c r="H13" s="7" t="s">
        <v>430</v>
      </c>
      <c r="I13" s="7" t="s">
        <v>275</v>
      </c>
      <c r="J13" s="7" t="s">
        <v>281</v>
      </c>
      <c r="K13" s="7" t="s">
        <v>191</v>
      </c>
      <c r="L13" s="7" t="s">
        <v>287</v>
      </c>
      <c r="M13" s="7" t="s">
        <v>73</v>
      </c>
      <c r="N13" s="7" t="s">
        <v>196</v>
      </c>
      <c r="O13" s="7" t="s">
        <v>431</v>
      </c>
      <c r="P13" s="7" t="s">
        <v>321</v>
      </c>
      <c r="Q13" s="29">
        <v>46271.77083333333</v>
      </c>
      <c r="R13" s="7" t="s">
        <v>323</v>
      </c>
      <c r="S13" s="7" t="s">
        <v>323</v>
      </c>
    </row>
    <row r="14" ht="72" customHeight="1" spans="1:19" x14ac:dyDescent="0.25">
      <c r="A14" s="5" t="s">
        <v>432</v>
      </c>
      <c r="B14" s="5" t="s">
        <v>433</v>
      </c>
      <c r="C14" s="5" t="s">
        <v>397</v>
      </c>
      <c r="D14" s="5" t="s">
        <v>434</v>
      </c>
      <c r="E14" s="5" t="s">
        <v>435</v>
      </c>
      <c r="F14" s="5" t="s">
        <v>436</v>
      </c>
      <c r="G14" s="5" t="s">
        <v>437</v>
      </c>
      <c r="H14" s="5" t="s">
        <v>438</v>
      </c>
      <c r="I14" s="5" t="s">
        <v>289</v>
      </c>
      <c r="J14" s="5" t="s">
        <v>281</v>
      </c>
      <c r="K14" s="5" t="s">
        <v>191</v>
      </c>
      <c r="L14" s="5" t="s">
        <v>287</v>
      </c>
      <c r="M14" s="5" t="s">
        <v>73</v>
      </c>
      <c r="N14" s="5" t="s">
        <v>196</v>
      </c>
      <c r="O14" s="5" t="s">
        <v>439</v>
      </c>
      <c r="P14" s="5" t="s">
        <v>321</v>
      </c>
      <c r="Q14" s="30">
        <v>46271.77083333333</v>
      </c>
      <c r="R14" s="5" t="s">
        <v>323</v>
      </c>
      <c r="S14" s="5" t="s">
        <v>440</v>
      </c>
    </row>
    <row r="15" ht="22" customHeight="1" spans="1:7" x14ac:dyDescent="0.25">
      <c r="A15" s="28" t="s">
        <v>441</v>
      </c>
      <c r="B15" s="28"/>
      <c r="C15" s="28"/>
      <c r="D15" s="28"/>
      <c r="E15" s="28"/>
      <c r="F15" s="28"/>
      <c r="G15" s="28"/>
    </row>
    <row r="16" ht="72" customHeight="1" spans="1:19" x14ac:dyDescent="0.25">
      <c r="A16" s="7" t="s">
        <v>442</v>
      </c>
      <c r="B16" s="7" t="s">
        <v>443</v>
      </c>
      <c r="C16" s="7" t="s">
        <v>444</v>
      </c>
      <c r="D16" s="7" t="s">
        <v>445</v>
      </c>
      <c r="E16" s="7" t="s">
        <v>446</v>
      </c>
      <c r="F16" s="7" t="s">
        <v>447</v>
      </c>
      <c r="G16" s="7" t="s">
        <v>448</v>
      </c>
      <c r="H16" s="7" t="s">
        <v>449</v>
      </c>
      <c r="I16" s="7" t="s">
        <v>275</v>
      </c>
      <c r="J16" s="7" t="s">
        <v>276</v>
      </c>
      <c r="K16" s="7" t="s">
        <v>271</v>
      </c>
      <c r="L16" s="7" t="s">
        <v>278</v>
      </c>
      <c r="M16" s="7" t="s">
        <v>69</v>
      </c>
      <c r="N16" s="7" t="s">
        <v>450</v>
      </c>
      <c r="O16" s="7" t="s">
        <v>88</v>
      </c>
      <c r="P16" s="7" t="s">
        <v>321</v>
      </c>
      <c r="Q16" s="29">
        <v>46271.77083333333</v>
      </c>
      <c r="R16" s="7" t="s">
        <v>323</v>
      </c>
      <c r="S16" s="7" t="s">
        <v>323</v>
      </c>
    </row>
    <row r="17" ht="72" customHeight="1" spans="1:19" x14ac:dyDescent="0.25">
      <c r="A17" s="5" t="s">
        <v>451</v>
      </c>
      <c r="B17" s="5" t="s">
        <v>443</v>
      </c>
      <c r="C17" s="5" t="s">
        <v>452</v>
      </c>
      <c r="D17" s="5" t="s">
        <v>453</v>
      </c>
      <c r="E17" s="5" t="s">
        <v>454</v>
      </c>
      <c r="F17" s="5" t="s">
        <v>455</v>
      </c>
      <c r="G17" s="5" t="s">
        <v>456</v>
      </c>
      <c r="H17" s="5" t="s">
        <v>323</v>
      </c>
      <c r="I17" s="5" t="s">
        <v>269</v>
      </c>
      <c r="J17" s="5" t="s">
        <v>276</v>
      </c>
      <c r="K17" s="5" t="s">
        <v>271</v>
      </c>
      <c r="L17" s="5" t="s">
        <v>278</v>
      </c>
      <c r="M17" s="5" t="s">
        <v>69</v>
      </c>
      <c r="N17" s="5" t="s">
        <v>457</v>
      </c>
      <c r="O17" s="5" t="s">
        <v>88</v>
      </c>
      <c r="P17" s="5" t="s">
        <v>323</v>
      </c>
      <c r="Q17" s="5" t="s">
        <v>323</v>
      </c>
      <c r="R17" s="5" t="s">
        <v>323</v>
      </c>
      <c r="S17" s="5" t="s">
        <v>323</v>
      </c>
    </row>
    <row r="18" ht="72" customHeight="1" spans="1:19" x14ac:dyDescent="0.25">
      <c r="A18" s="7" t="s">
        <v>458</v>
      </c>
      <c r="B18" s="7" t="s">
        <v>443</v>
      </c>
      <c r="C18" s="7" t="s">
        <v>459</v>
      </c>
      <c r="D18" s="7" t="s">
        <v>460</v>
      </c>
      <c r="E18" s="7" t="s">
        <v>461</v>
      </c>
      <c r="F18" s="7" t="s">
        <v>462</v>
      </c>
      <c r="G18" s="7" t="s">
        <v>463</v>
      </c>
      <c r="H18" s="7" t="s">
        <v>323</v>
      </c>
      <c r="I18" s="7" t="s">
        <v>269</v>
      </c>
      <c r="J18" s="7" t="s">
        <v>276</v>
      </c>
      <c r="K18" s="7" t="s">
        <v>271</v>
      </c>
      <c r="L18" s="7" t="s">
        <v>278</v>
      </c>
      <c r="M18" s="7" t="s">
        <v>69</v>
      </c>
      <c r="N18" s="7" t="s">
        <v>464</v>
      </c>
      <c r="O18" s="7" t="s">
        <v>88</v>
      </c>
      <c r="P18" s="7" t="s">
        <v>323</v>
      </c>
      <c r="Q18" s="7" t="s">
        <v>323</v>
      </c>
      <c r="R18" s="7" t="s">
        <v>323</v>
      </c>
      <c r="S18" s="7" t="s">
        <v>323</v>
      </c>
    </row>
    <row r="19" ht="72" customHeight="1" spans="1:19" x14ac:dyDescent="0.25">
      <c r="A19" s="5" t="s">
        <v>465</v>
      </c>
      <c r="B19" s="5" t="s">
        <v>443</v>
      </c>
      <c r="C19" s="5" t="s">
        <v>466</v>
      </c>
      <c r="D19" s="5" t="s">
        <v>467</v>
      </c>
      <c r="E19" s="5" t="s">
        <v>468</v>
      </c>
      <c r="F19" s="5" t="s">
        <v>469</v>
      </c>
      <c r="G19" s="5" t="s">
        <v>470</v>
      </c>
      <c r="H19" s="5" t="s">
        <v>323</v>
      </c>
      <c r="I19" s="5" t="s">
        <v>269</v>
      </c>
      <c r="J19" s="5" t="s">
        <v>276</v>
      </c>
      <c r="K19" s="5" t="s">
        <v>271</v>
      </c>
      <c r="L19" s="5" t="s">
        <v>278</v>
      </c>
      <c r="M19" s="5" t="s">
        <v>69</v>
      </c>
      <c r="N19" s="5" t="s">
        <v>471</v>
      </c>
      <c r="O19" s="5" t="s">
        <v>88</v>
      </c>
      <c r="P19" s="5" t="s">
        <v>323</v>
      </c>
      <c r="Q19" s="5" t="s">
        <v>323</v>
      </c>
      <c r="R19" s="5" t="s">
        <v>323</v>
      </c>
      <c r="S19" s="5" t="s">
        <v>323</v>
      </c>
    </row>
    <row r="20" ht="72" customHeight="1" spans="1:19" x14ac:dyDescent="0.25">
      <c r="A20" s="7" t="s">
        <v>472</v>
      </c>
      <c r="B20" s="7" t="s">
        <v>443</v>
      </c>
      <c r="C20" s="7" t="s">
        <v>473</v>
      </c>
      <c r="D20" s="7" t="s">
        <v>474</v>
      </c>
      <c r="E20" s="7" t="s">
        <v>475</v>
      </c>
      <c r="F20" s="7" t="s">
        <v>476</v>
      </c>
      <c r="G20" s="7" t="s">
        <v>477</v>
      </c>
      <c r="H20" s="7" t="s">
        <v>323</v>
      </c>
      <c r="I20" s="7" t="s">
        <v>269</v>
      </c>
      <c r="J20" s="7" t="s">
        <v>276</v>
      </c>
      <c r="K20" s="7" t="s">
        <v>271</v>
      </c>
      <c r="L20" s="7" t="s">
        <v>278</v>
      </c>
      <c r="M20" s="7" t="s">
        <v>69</v>
      </c>
      <c r="N20" s="7" t="s">
        <v>478</v>
      </c>
      <c r="O20" s="7" t="s">
        <v>88</v>
      </c>
      <c r="P20" s="7" t="s">
        <v>323</v>
      </c>
      <c r="Q20" s="7" t="s">
        <v>323</v>
      </c>
      <c r="R20" s="7" t="s">
        <v>323</v>
      </c>
      <c r="S20" s="7" t="s">
        <v>323</v>
      </c>
    </row>
    <row r="21" ht="72" customHeight="1" spans="1:19" x14ac:dyDescent="0.25">
      <c r="A21" s="5" t="s">
        <v>479</v>
      </c>
      <c r="B21" s="5" t="s">
        <v>443</v>
      </c>
      <c r="C21" s="5" t="s">
        <v>480</v>
      </c>
      <c r="D21" s="5" t="s">
        <v>481</v>
      </c>
      <c r="E21" s="5" t="s">
        <v>482</v>
      </c>
      <c r="F21" s="5" t="s">
        <v>483</v>
      </c>
      <c r="G21" s="5" t="s">
        <v>484</v>
      </c>
      <c r="H21" s="5" t="s">
        <v>323</v>
      </c>
      <c r="I21" s="5" t="s">
        <v>269</v>
      </c>
      <c r="J21" s="5" t="s">
        <v>276</v>
      </c>
      <c r="K21" s="5" t="s">
        <v>271</v>
      </c>
      <c r="L21" s="5" t="s">
        <v>287</v>
      </c>
      <c r="M21" s="5" t="s">
        <v>73</v>
      </c>
      <c r="N21" s="5" t="s">
        <v>196</v>
      </c>
      <c r="O21" s="5" t="s">
        <v>485</v>
      </c>
      <c r="P21" s="5" t="s">
        <v>323</v>
      </c>
      <c r="Q21" s="5" t="s">
        <v>323</v>
      </c>
      <c r="R21" s="5" t="s">
        <v>323</v>
      </c>
      <c r="S21" s="5" t="s">
        <v>323</v>
      </c>
    </row>
    <row r="22" ht="22" customHeight="1" spans="1:7" x14ac:dyDescent="0.25">
      <c r="A22" s="28" t="s">
        <v>486</v>
      </c>
      <c r="B22" s="28"/>
      <c r="C22" s="28"/>
      <c r="D22" s="28"/>
      <c r="E22" s="28"/>
      <c r="F22" s="28"/>
      <c r="G22" s="28"/>
    </row>
    <row r="23" ht="72" customHeight="1" spans="1:19" x14ac:dyDescent="0.25">
      <c r="A23" s="7" t="s">
        <v>487</v>
      </c>
      <c r="B23" s="7" t="s">
        <v>36</v>
      </c>
      <c r="C23" s="7" t="s">
        <v>488</v>
      </c>
      <c r="D23" s="7" t="s">
        <v>489</v>
      </c>
      <c r="E23" s="7" t="s">
        <v>490</v>
      </c>
      <c r="F23" s="7" t="s">
        <v>491</v>
      </c>
      <c r="G23" s="7" t="s">
        <v>492</v>
      </c>
      <c r="H23" s="7" t="s">
        <v>323</v>
      </c>
      <c r="I23" s="7" t="s">
        <v>269</v>
      </c>
      <c r="J23" s="7" t="s">
        <v>270</v>
      </c>
      <c r="K23" s="7" t="s">
        <v>271</v>
      </c>
      <c r="L23" s="7" t="s">
        <v>278</v>
      </c>
      <c r="M23" s="7" t="s">
        <v>69</v>
      </c>
      <c r="N23" s="7" t="s">
        <v>493</v>
      </c>
      <c r="O23" s="7" t="s">
        <v>88</v>
      </c>
      <c r="P23" s="7" t="s">
        <v>323</v>
      </c>
      <c r="Q23" s="7" t="s">
        <v>323</v>
      </c>
      <c r="R23" s="7" t="s">
        <v>323</v>
      </c>
      <c r="S23" s="7" t="s">
        <v>323</v>
      </c>
    </row>
    <row r="24" ht="72" customHeight="1" spans="1:19" x14ac:dyDescent="0.25">
      <c r="A24" s="5" t="s">
        <v>494</v>
      </c>
      <c r="B24" s="5" t="s">
        <v>36</v>
      </c>
      <c r="C24" s="5" t="s">
        <v>495</v>
      </c>
      <c r="D24" s="5" t="s">
        <v>496</v>
      </c>
      <c r="E24" s="5" t="s">
        <v>497</v>
      </c>
      <c r="F24" s="5" t="s">
        <v>498</v>
      </c>
      <c r="G24" s="5" t="s">
        <v>499</v>
      </c>
      <c r="H24" s="5" t="s">
        <v>323</v>
      </c>
      <c r="I24" s="5" t="s">
        <v>269</v>
      </c>
      <c r="J24" s="5" t="s">
        <v>276</v>
      </c>
      <c r="K24" s="5" t="s">
        <v>271</v>
      </c>
      <c r="L24" s="5" t="s">
        <v>287</v>
      </c>
      <c r="M24" s="5" t="s">
        <v>73</v>
      </c>
      <c r="N24" s="5" t="s">
        <v>196</v>
      </c>
      <c r="O24" s="5" t="s">
        <v>500</v>
      </c>
      <c r="P24" s="5" t="s">
        <v>323</v>
      </c>
      <c r="Q24" s="5" t="s">
        <v>323</v>
      </c>
      <c r="R24" s="5" t="s">
        <v>323</v>
      </c>
      <c r="S24" s="5" t="s">
        <v>323</v>
      </c>
    </row>
    <row r="25" ht="72" customHeight="1" spans="1:19" x14ac:dyDescent="0.25">
      <c r="A25" s="7" t="s">
        <v>501</v>
      </c>
      <c r="B25" s="7" t="s">
        <v>36</v>
      </c>
      <c r="C25" s="7" t="s">
        <v>502</v>
      </c>
      <c r="D25" s="7" t="s">
        <v>503</v>
      </c>
      <c r="E25" s="7" t="s">
        <v>504</v>
      </c>
      <c r="F25" s="7" t="s">
        <v>505</v>
      </c>
      <c r="G25" s="7" t="s">
        <v>506</v>
      </c>
      <c r="H25" s="7" t="s">
        <v>323</v>
      </c>
      <c r="I25" s="7" t="s">
        <v>269</v>
      </c>
      <c r="J25" s="7" t="s">
        <v>276</v>
      </c>
      <c r="K25" s="7" t="s">
        <v>271</v>
      </c>
      <c r="L25" s="7" t="s">
        <v>278</v>
      </c>
      <c r="M25" s="7" t="s">
        <v>69</v>
      </c>
      <c r="N25" s="7" t="s">
        <v>507</v>
      </c>
      <c r="O25" s="7" t="s">
        <v>88</v>
      </c>
      <c r="P25" s="7" t="s">
        <v>323</v>
      </c>
      <c r="Q25" s="7" t="s">
        <v>323</v>
      </c>
      <c r="R25" s="7" t="s">
        <v>323</v>
      </c>
      <c r="S25" s="7" t="s">
        <v>323</v>
      </c>
    </row>
    <row r="26" ht="72" customHeight="1" spans="1:19" x14ac:dyDescent="0.25">
      <c r="A26" s="5" t="s">
        <v>508</v>
      </c>
      <c r="B26" s="5" t="s">
        <v>39</v>
      </c>
      <c r="C26" s="5" t="s">
        <v>509</v>
      </c>
      <c r="D26" s="5" t="s">
        <v>510</v>
      </c>
      <c r="E26" s="5" t="s">
        <v>511</v>
      </c>
      <c r="F26" s="5" t="s">
        <v>512</v>
      </c>
      <c r="G26" s="5" t="s">
        <v>513</v>
      </c>
      <c r="H26" s="5" t="s">
        <v>323</v>
      </c>
      <c r="I26" s="5" t="s">
        <v>269</v>
      </c>
      <c r="J26" s="5" t="s">
        <v>270</v>
      </c>
      <c r="K26" s="5" t="s">
        <v>271</v>
      </c>
      <c r="L26" s="5" t="s">
        <v>278</v>
      </c>
      <c r="M26" s="5" t="s">
        <v>69</v>
      </c>
      <c r="N26" s="5" t="s">
        <v>514</v>
      </c>
      <c r="O26" s="5" t="s">
        <v>515</v>
      </c>
      <c r="P26" s="5" t="s">
        <v>323</v>
      </c>
      <c r="Q26" s="5" t="s">
        <v>323</v>
      </c>
      <c r="R26" s="5" t="s">
        <v>323</v>
      </c>
      <c r="S26" s="5" t="s">
        <v>323</v>
      </c>
    </row>
    <row r="27" ht="72" customHeight="1" spans="1:19" x14ac:dyDescent="0.25">
      <c r="A27" s="7" t="s">
        <v>516</v>
      </c>
      <c r="B27" s="7" t="s">
        <v>39</v>
      </c>
      <c r="C27" s="7" t="s">
        <v>517</v>
      </c>
      <c r="D27" s="7" t="s">
        <v>518</v>
      </c>
      <c r="E27" s="7" t="s">
        <v>519</v>
      </c>
      <c r="F27" s="7" t="s">
        <v>520</v>
      </c>
      <c r="G27" s="7" t="s">
        <v>521</v>
      </c>
      <c r="H27" s="7" t="s">
        <v>323</v>
      </c>
      <c r="I27" s="7" t="s">
        <v>269</v>
      </c>
      <c r="J27" s="7" t="s">
        <v>276</v>
      </c>
      <c r="K27" s="7" t="s">
        <v>271</v>
      </c>
      <c r="L27" s="7" t="s">
        <v>287</v>
      </c>
      <c r="M27" s="7" t="s">
        <v>73</v>
      </c>
      <c r="N27" s="7" t="s">
        <v>196</v>
      </c>
      <c r="O27" s="7" t="s">
        <v>522</v>
      </c>
      <c r="P27" s="7" t="s">
        <v>323</v>
      </c>
      <c r="Q27" s="7" t="s">
        <v>323</v>
      </c>
      <c r="R27" s="7" t="s">
        <v>323</v>
      </c>
      <c r="S27" s="7" t="s">
        <v>323</v>
      </c>
    </row>
    <row r="28" ht="72" customHeight="1" spans="1:19" x14ac:dyDescent="0.25">
      <c r="A28" s="5" t="s">
        <v>523</v>
      </c>
      <c r="B28" s="5" t="s">
        <v>41</v>
      </c>
      <c r="C28" s="5" t="s">
        <v>524</v>
      </c>
      <c r="D28" s="5" t="s">
        <v>525</v>
      </c>
      <c r="E28" s="5" t="s">
        <v>526</v>
      </c>
      <c r="F28" s="5" t="s">
        <v>527</v>
      </c>
      <c r="G28" s="5" t="s">
        <v>528</v>
      </c>
      <c r="H28" s="5" t="s">
        <v>323</v>
      </c>
      <c r="I28" s="5" t="s">
        <v>269</v>
      </c>
      <c r="J28" s="5" t="s">
        <v>270</v>
      </c>
      <c r="K28" s="5" t="s">
        <v>277</v>
      </c>
      <c r="L28" s="5" t="s">
        <v>278</v>
      </c>
      <c r="M28" s="5" t="s">
        <v>69</v>
      </c>
      <c r="N28" s="5" t="s">
        <v>529</v>
      </c>
      <c r="O28" s="5" t="s">
        <v>515</v>
      </c>
      <c r="P28" s="5" t="s">
        <v>323</v>
      </c>
      <c r="Q28" s="5" t="s">
        <v>323</v>
      </c>
      <c r="R28" s="5" t="s">
        <v>323</v>
      </c>
      <c r="S28" s="5" t="s">
        <v>323</v>
      </c>
    </row>
    <row r="29" ht="72" customHeight="1" spans="1:19" x14ac:dyDescent="0.25">
      <c r="A29" s="7" t="s">
        <v>530</v>
      </c>
      <c r="B29" s="7" t="s">
        <v>41</v>
      </c>
      <c r="C29" s="7" t="s">
        <v>531</v>
      </c>
      <c r="D29" s="7" t="s">
        <v>532</v>
      </c>
      <c r="E29" s="7" t="s">
        <v>533</v>
      </c>
      <c r="F29" s="7" t="s">
        <v>520</v>
      </c>
      <c r="G29" s="7" t="s">
        <v>534</v>
      </c>
      <c r="H29" s="7" t="s">
        <v>323</v>
      </c>
      <c r="I29" s="7" t="s">
        <v>269</v>
      </c>
      <c r="J29" s="7" t="s">
        <v>276</v>
      </c>
      <c r="K29" s="7" t="s">
        <v>271</v>
      </c>
      <c r="L29" s="7" t="s">
        <v>287</v>
      </c>
      <c r="M29" s="7" t="s">
        <v>73</v>
      </c>
      <c r="N29" s="7" t="s">
        <v>196</v>
      </c>
      <c r="O29" s="7" t="s">
        <v>535</v>
      </c>
      <c r="P29" s="7" t="s">
        <v>323</v>
      </c>
      <c r="Q29" s="7" t="s">
        <v>323</v>
      </c>
      <c r="R29" s="7" t="s">
        <v>323</v>
      </c>
      <c r="S29" s="7" t="s">
        <v>323</v>
      </c>
    </row>
    <row r="30" ht="72" customHeight="1" spans="1:19" x14ac:dyDescent="0.25">
      <c r="A30" s="5" t="s">
        <v>536</v>
      </c>
      <c r="B30" s="5" t="s">
        <v>43</v>
      </c>
      <c r="C30" s="5" t="s">
        <v>537</v>
      </c>
      <c r="D30" s="5" t="s">
        <v>538</v>
      </c>
      <c r="E30" s="5" t="s">
        <v>539</v>
      </c>
      <c r="F30" s="5" t="s">
        <v>540</v>
      </c>
      <c r="G30" s="5" t="s">
        <v>541</v>
      </c>
      <c r="H30" s="5" t="s">
        <v>323</v>
      </c>
      <c r="I30" s="5" t="s">
        <v>269</v>
      </c>
      <c r="J30" s="5" t="s">
        <v>270</v>
      </c>
      <c r="K30" s="5" t="s">
        <v>271</v>
      </c>
      <c r="L30" s="5" t="s">
        <v>283</v>
      </c>
      <c r="M30" s="5" t="s">
        <v>71</v>
      </c>
      <c r="N30" s="5" t="s">
        <v>542</v>
      </c>
      <c r="O30" s="5" t="s">
        <v>88</v>
      </c>
      <c r="P30" s="5" t="s">
        <v>323</v>
      </c>
      <c r="Q30" s="5" t="s">
        <v>323</v>
      </c>
      <c r="R30" s="5" t="s">
        <v>323</v>
      </c>
      <c r="S30" s="5" t="s">
        <v>323</v>
      </c>
    </row>
    <row r="31" ht="72" customHeight="1" spans="1:19" x14ac:dyDescent="0.25">
      <c r="A31" s="7" t="s">
        <v>543</v>
      </c>
      <c r="B31" s="7" t="s">
        <v>43</v>
      </c>
      <c r="C31" s="7" t="s">
        <v>544</v>
      </c>
      <c r="D31" s="7" t="s">
        <v>545</v>
      </c>
      <c r="E31" s="7" t="s">
        <v>546</v>
      </c>
      <c r="F31" s="7" t="s">
        <v>540</v>
      </c>
      <c r="G31" s="7" t="s">
        <v>547</v>
      </c>
      <c r="H31" s="7" t="s">
        <v>323</v>
      </c>
      <c r="I31" s="7" t="s">
        <v>269</v>
      </c>
      <c r="J31" s="7" t="s">
        <v>276</v>
      </c>
      <c r="K31" s="7" t="s">
        <v>282</v>
      </c>
      <c r="L31" s="7" t="s">
        <v>283</v>
      </c>
      <c r="M31" s="7" t="s">
        <v>71</v>
      </c>
      <c r="N31" s="7" t="s">
        <v>548</v>
      </c>
      <c r="O31" s="7" t="s">
        <v>88</v>
      </c>
      <c r="P31" s="7" t="s">
        <v>323</v>
      </c>
      <c r="Q31" s="7" t="s">
        <v>323</v>
      </c>
      <c r="R31" s="7" t="s">
        <v>323</v>
      </c>
      <c r="S31" s="7" t="s">
        <v>323</v>
      </c>
    </row>
    <row r="32" ht="72" customHeight="1" spans="1:19" x14ac:dyDescent="0.25">
      <c r="A32" s="5" t="s">
        <v>549</v>
      </c>
      <c r="B32" s="5" t="s">
        <v>550</v>
      </c>
      <c r="C32" s="5" t="s">
        <v>551</v>
      </c>
      <c r="D32" s="5" t="s">
        <v>552</v>
      </c>
      <c r="E32" s="5" t="s">
        <v>553</v>
      </c>
      <c r="F32" s="5" t="s">
        <v>554</v>
      </c>
      <c r="G32" s="5" t="s">
        <v>555</v>
      </c>
      <c r="H32" s="5" t="s">
        <v>323</v>
      </c>
      <c r="I32" s="5" t="s">
        <v>269</v>
      </c>
      <c r="J32" s="5" t="s">
        <v>276</v>
      </c>
      <c r="K32" s="5" t="s">
        <v>271</v>
      </c>
      <c r="L32" s="5" t="s">
        <v>287</v>
      </c>
      <c r="M32" s="5" t="s">
        <v>73</v>
      </c>
      <c r="N32" s="5" t="s">
        <v>196</v>
      </c>
      <c r="O32" s="5" t="s">
        <v>556</v>
      </c>
      <c r="P32" s="5" t="s">
        <v>323</v>
      </c>
      <c r="Q32" s="5" t="s">
        <v>323</v>
      </c>
      <c r="R32" s="5" t="s">
        <v>323</v>
      </c>
      <c r="S32" s="5" t="s">
        <v>323</v>
      </c>
    </row>
    <row r="33" ht="22" customHeight="1" spans="1:7" x14ac:dyDescent="0.25">
      <c r="A33" s="28" t="s">
        <v>557</v>
      </c>
      <c r="B33" s="28"/>
      <c r="C33" s="28"/>
      <c r="D33" s="28"/>
      <c r="E33" s="28"/>
      <c r="F33" s="28"/>
      <c r="G33" s="28"/>
    </row>
    <row r="34" ht="72" customHeight="1" spans="1:19" x14ac:dyDescent="0.25">
      <c r="A34" s="7" t="s">
        <v>558</v>
      </c>
      <c r="B34" s="7" t="s">
        <v>48</v>
      </c>
      <c r="C34" s="7" t="s">
        <v>559</v>
      </c>
      <c r="D34" s="7" t="s">
        <v>560</v>
      </c>
      <c r="E34" s="7" t="s">
        <v>561</v>
      </c>
      <c r="F34" s="7" t="s">
        <v>562</v>
      </c>
      <c r="G34" s="7" t="s">
        <v>563</v>
      </c>
      <c r="H34" s="7" t="s">
        <v>323</v>
      </c>
      <c r="I34" s="7" t="s">
        <v>269</v>
      </c>
      <c r="J34" s="7" t="s">
        <v>270</v>
      </c>
      <c r="K34" s="7" t="s">
        <v>282</v>
      </c>
      <c r="L34" s="7" t="s">
        <v>278</v>
      </c>
      <c r="M34" s="7" t="s">
        <v>69</v>
      </c>
      <c r="N34" s="7" t="s">
        <v>564</v>
      </c>
      <c r="O34" s="7" t="s">
        <v>98</v>
      </c>
      <c r="P34" s="7" t="s">
        <v>323</v>
      </c>
      <c r="Q34" s="7" t="s">
        <v>323</v>
      </c>
      <c r="R34" s="7" t="s">
        <v>324</v>
      </c>
      <c r="S34" s="7" t="s">
        <v>323</v>
      </c>
    </row>
    <row r="35" ht="72" customHeight="1" spans="1:19" x14ac:dyDescent="0.25">
      <c r="A35" s="5" t="s">
        <v>565</v>
      </c>
      <c r="B35" s="5" t="s">
        <v>48</v>
      </c>
      <c r="C35" s="5" t="s">
        <v>566</v>
      </c>
      <c r="D35" s="5" t="s">
        <v>567</v>
      </c>
      <c r="E35" s="5" t="s">
        <v>568</v>
      </c>
      <c r="F35" s="5" t="s">
        <v>569</v>
      </c>
      <c r="G35" s="5" t="s">
        <v>570</v>
      </c>
      <c r="H35" s="5" t="s">
        <v>323</v>
      </c>
      <c r="I35" s="5" t="s">
        <v>269</v>
      </c>
      <c r="J35" s="5" t="s">
        <v>270</v>
      </c>
      <c r="K35" s="5" t="s">
        <v>271</v>
      </c>
      <c r="L35" s="5" t="s">
        <v>278</v>
      </c>
      <c r="M35" s="5" t="s">
        <v>69</v>
      </c>
      <c r="N35" s="5" t="s">
        <v>571</v>
      </c>
      <c r="O35" s="5" t="s">
        <v>98</v>
      </c>
      <c r="P35" s="5" t="s">
        <v>323</v>
      </c>
      <c r="Q35" s="5" t="s">
        <v>323</v>
      </c>
      <c r="R35" s="5" t="s">
        <v>324</v>
      </c>
      <c r="S35" s="5" t="s">
        <v>323</v>
      </c>
    </row>
    <row r="36" ht="72" customHeight="1" spans="1:19" x14ac:dyDescent="0.25">
      <c r="A36" s="7" t="s">
        <v>572</v>
      </c>
      <c r="B36" s="7" t="s">
        <v>48</v>
      </c>
      <c r="C36" s="7" t="s">
        <v>573</v>
      </c>
      <c r="D36" s="7" t="s">
        <v>574</v>
      </c>
      <c r="E36" s="7" t="s">
        <v>575</v>
      </c>
      <c r="F36" s="7" t="s">
        <v>576</v>
      </c>
      <c r="G36" s="7" t="s">
        <v>577</v>
      </c>
      <c r="H36" s="7" t="s">
        <v>323</v>
      </c>
      <c r="I36" s="7" t="s">
        <v>269</v>
      </c>
      <c r="J36" s="7" t="s">
        <v>276</v>
      </c>
      <c r="K36" s="7" t="s">
        <v>271</v>
      </c>
      <c r="L36" s="7" t="s">
        <v>287</v>
      </c>
      <c r="M36" s="7" t="s">
        <v>73</v>
      </c>
      <c r="N36" s="7" t="s">
        <v>196</v>
      </c>
      <c r="O36" s="7" t="s">
        <v>573</v>
      </c>
      <c r="P36" s="7" t="s">
        <v>323</v>
      </c>
      <c r="Q36" s="7" t="s">
        <v>323</v>
      </c>
      <c r="R36" s="7" t="s">
        <v>324</v>
      </c>
      <c r="S36" s="7" t="s">
        <v>323</v>
      </c>
    </row>
    <row r="37" ht="72" customHeight="1" spans="1:19" x14ac:dyDescent="0.25">
      <c r="A37" s="5" t="s">
        <v>578</v>
      </c>
      <c r="B37" s="5" t="s">
        <v>48</v>
      </c>
      <c r="C37" s="5" t="s">
        <v>579</v>
      </c>
      <c r="D37" s="5" t="s">
        <v>580</v>
      </c>
      <c r="E37" s="5" t="s">
        <v>581</v>
      </c>
      <c r="F37" s="5" t="s">
        <v>582</v>
      </c>
      <c r="G37" s="5" t="s">
        <v>583</v>
      </c>
      <c r="H37" s="5" t="s">
        <v>323</v>
      </c>
      <c r="I37" s="5" t="s">
        <v>269</v>
      </c>
      <c r="J37" s="5" t="s">
        <v>276</v>
      </c>
      <c r="K37" s="5" t="s">
        <v>271</v>
      </c>
      <c r="L37" s="5" t="s">
        <v>287</v>
      </c>
      <c r="M37" s="5" t="s">
        <v>73</v>
      </c>
      <c r="N37" s="5" t="s">
        <v>196</v>
      </c>
      <c r="O37" s="5" t="s">
        <v>579</v>
      </c>
      <c r="P37" s="5" t="s">
        <v>323</v>
      </c>
      <c r="Q37" s="5" t="s">
        <v>323</v>
      </c>
      <c r="R37" s="5" t="s">
        <v>324</v>
      </c>
      <c r="S37" s="5" t="s">
        <v>323</v>
      </c>
    </row>
    <row r="38" ht="72" customHeight="1" spans="1:19" x14ac:dyDescent="0.25">
      <c r="A38" s="7" t="s">
        <v>584</v>
      </c>
      <c r="B38" s="7" t="s">
        <v>48</v>
      </c>
      <c r="C38" s="7" t="s">
        <v>585</v>
      </c>
      <c r="D38" s="7" t="s">
        <v>586</v>
      </c>
      <c r="E38" s="7" t="s">
        <v>587</v>
      </c>
      <c r="F38" s="7" t="s">
        <v>588</v>
      </c>
      <c r="G38" s="7" t="s">
        <v>589</v>
      </c>
      <c r="H38" s="7" t="s">
        <v>323</v>
      </c>
      <c r="I38" s="7" t="s">
        <v>269</v>
      </c>
      <c r="J38" s="7" t="s">
        <v>276</v>
      </c>
      <c r="K38" s="7" t="s">
        <v>271</v>
      </c>
      <c r="L38" s="7" t="s">
        <v>287</v>
      </c>
      <c r="M38" s="7" t="s">
        <v>73</v>
      </c>
      <c r="N38" s="7" t="s">
        <v>196</v>
      </c>
      <c r="O38" s="7" t="s">
        <v>590</v>
      </c>
      <c r="P38" s="7" t="s">
        <v>323</v>
      </c>
      <c r="Q38" s="7" t="s">
        <v>323</v>
      </c>
      <c r="R38" s="7" t="s">
        <v>324</v>
      </c>
      <c r="S38" s="7" t="s">
        <v>323</v>
      </c>
    </row>
    <row r="39" ht="72" customHeight="1" spans="1:19" x14ac:dyDescent="0.25">
      <c r="A39" s="5" t="s">
        <v>591</v>
      </c>
      <c r="B39" s="5" t="s">
        <v>48</v>
      </c>
      <c r="C39" s="5" t="s">
        <v>592</v>
      </c>
      <c r="D39" s="5" t="s">
        <v>593</v>
      </c>
      <c r="E39" s="5" t="s">
        <v>594</v>
      </c>
      <c r="F39" s="5" t="s">
        <v>595</v>
      </c>
      <c r="G39" s="5" t="s">
        <v>596</v>
      </c>
      <c r="H39" s="5" t="s">
        <v>323</v>
      </c>
      <c r="I39" s="5" t="s">
        <v>269</v>
      </c>
      <c r="J39" s="5" t="s">
        <v>281</v>
      </c>
      <c r="K39" s="5" t="s">
        <v>271</v>
      </c>
      <c r="L39" s="5" t="s">
        <v>278</v>
      </c>
      <c r="M39" s="5" t="s">
        <v>69</v>
      </c>
      <c r="N39" s="5" t="s">
        <v>597</v>
      </c>
      <c r="O39" s="5" t="s">
        <v>598</v>
      </c>
      <c r="P39" s="5" t="s">
        <v>323</v>
      </c>
      <c r="Q39" s="5" t="s">
        <v>323</v>
      </c>
      <c r="R39" s="5" t="s">
        <v>324</v>
      </c>
      <c r="S39" s="5" t="s">
        <v>323</v>
      </c>
    </row>
    <row r="40" ht="72" customHeight="1" spans="1:19" x14ac:dyDescent="0.25">
      <c r="A40" s="7" t="s">
        <v>599</v>
      </c>
      <c r="B40" s="7" t="s">
        <v>48</v>
      </c>
      <c r="C40" s="7" t="s">
        <v>207</v>
      </c>
      <c r="D40" s="7" t="s">
        <v>600</v>
      </c>
      <c r="E40" s="7" t="s">
        <v>601</v>
      </c>
      <c r="F40" s="7" t="s">
        <v>602</v>
      </c>
      <c r="G40" s="7" t="s">
        <v>603</v>
      </c>
      <c r="H40" s="7" t="s">
        <v>323</v>
      </c>
      <c r="I40" s="7" t="s">
        <v>269</v>
      </c>
      <c r="J40" s="7" t="s">
        <v>276</v>
      </c>
      <c r="K40" s="7" t="s">
        <v>271</v>
      </c>
      <c r="L40" s="7" t="s">
        <v>287</v>
      </c>
      <c r="M40" s="7" t="s">
        <v>73</v>
      </c>
      <c r="N40" s="7" t="s">
        <v>196</v>
      </c>
      <c r="O40" s="7" t="s">
        <v>604</v>
      </c>
      <c r="P40" s="7" t="s">
        <v>323</v>
      </c>
      <c r="Q40" s="7" t="s">
        <v>323</v>
      </c>
      <c r="R40" s="7" t="s">
        <v>323</v>
      </c>
      <c r="S40" s="7" t="s">
        <v>323</v>
      </c>
    </row>
    <row r="41" ht="22" customHeight="1" spans="1:7" x14ac:dyDescent="0.25">
      <c r="A41" s="28" t="s">
        <v>605</v>
      </c>
      <c r="B41" s="28"/>
      <c r="C41" s="28"/>
      <c r="D41" s="28"/>
      <c r="E41" s="28"/>
      <c r="F41" s="28"/>
      <c r="G41" s="28"/>
    </row>
    <row r="42" ht="72" customHeight="1" spans="1:19" x14ac:dyDescent="0.25">
      <c r="A42" s="7" t="s">
        <v>606</v>
      </c>
      <c r="B42" s="7" t="s">
        <v>45</v>
      </c>
      <c r="C42" s="7" t="s">
        <v>607</v>
      </c>
      <c r="D42" s="7" t="s">
        <v>608</v>
      </c>
      <c r="E42" s="7" t="s">
        <v>609</v>
      </c>
      <c r="F42" s="7" t="s">
        <v>610</v>
      </c>
      <c r="G42" s="7" t="s">
        <v>611</v>
      </c>
      <c r="H42" s="7" t="s">
        <v>323</v>
      </c>
      <c r="I42" s="7" t="s">
        <v>269</v>
      </c>
      <c r="J42" s="7" t="s">
        <v>270</v>
      </c>
      <c r="K42" s="7" t="s">
        <v>271</v>
      </c>
      <c r="L42" s="7" t="s">
        <v>278</v>
      </c>
      <c r="M42" s="7" t="s">
        <v>69</v>
      </c>
      <c r="N42" s="7" t="s">
        <v>612</v>
      </c>
      <c r="O42" s="7" t="s">
        <v>93</v>
      </c>
      <c r="P42" s="7" t="s">
        <v>323</v>
      </c>
      <c r="Q42" s="7" t="s">
        <v>323</v>
      </c>
      <c r="R42" s="7" t="s">
        <v>323</v>
      </c>
      <c r="S42" s="7" t="s">
        <v>323</v>
      </c>
    </row>
    <row r="43" ht="72" customHeight="1" spans="1:19" x14ac:dyDescent="0.25">
      <c r="A43" s="5" t="s">
        <v>613</v>
      </c>
      <c r="B43" s="5" t="s">
        <v>45</v>
      </c>
      <c r="C43" s="5" t="s">
        <v>614</v>
      </c>
      <c r="D43" s="5" t="s">
        <v>615</v>
      </c>
      <c r="E43" s="5" t="s">
        <v>616</v>
      </c>
      <c r="F43" s="5" t="s">
        <v>617</v>
      </c>
      <c r="G43" s="5" t="s">
        <v>618</v>
      </c>
      <c r="H43" s="5" t="s">
        <v>323</v>
      </c>
      <c r="I43" s="5" t="s">
        <v>269</v>
      </c>
      <c r="J43" s="5" t="s">
        <v>270</v>
      </c>
      <c r="K43" s="5" t="s">
        <v>271</v>
      </c>
      <c r="L43" s="5" t="s">
        <v>278</v>
      </c>
      <c r="M43" s="5" t="s">
        <v>69</v>
      </c>
      <c r="N43" s="5" t="s">
        <v>619</v>
      </c>
      <c r="O43" s="5" t="s">
        <v>93</v>
      </c>
      <c r="P43" s="5" t="s">
        <v>323</v>
      </c>
      <c r="Q43" s="5" t="s">
        <v>323</v>
      </c>
      <c r="R43" s="5" t="s">
        <v>323</v>
      </c>
      <c r="S43" s="5" t="s">
        <v>323</v>
      </c>
    </row>
    <row r="44" ht="72" customHeight="1" spans="1:19" x14ac:dyDescent="0.25">
      <c r="A44" s="7" t="s">
        <v>620</v>
      </c>
      <c r="B44" s="7" t="s">
        <v>45</v>
      </c>
      <c r="C44" s="7" t="s">
        <v>621</v>
      </c>
      <c r="D44" s="7" t="s">
        <v>622</v>
      </c>
      <c r="E44" s="7" t="s">
        <v>623</v>
      </c>
      <c r="F44" s="7" t="s">
        <v>624</v>
      </c>
      <c r="G44" s="7" t="s">
        <v>625</v>
      </c>
      <c r="H44" s="7" t="s">
        <v>323</v>
      </c>
      <c r="I44" s="7" t="s">
        <v>269</v>
      </c>
      <c r="J44" s="7" t="s">
        <v>276</v>
      </c>
      <c r="K44" s="7" t="s">
        <v>271</v>
      </c>
      <c r="L44" s="7" t="s">
        <v>287</v>
      </c>
      <c r="M44" s="7" t="s">
        <v>73</v>
      </c>
      <c r="N44" s="7" t="s">
        <v>196</v>
      </c>
      <c r="O44" s="7" t="s">
        <v>626</v>
      </c>
      <c r="P44" s="7" t="s">
        <v>323</v>
      </c>
      <c r="Q44" s="7" t="s">
        <v>323</v>
      </c>
      <c r="R44" s="7" t="s">
        <v>323</v>
      </c>
      <c r="S44" s="7" t="s">
        <v>323</v>
      </c>
    </row>
    <row r="45" ht="72" customHeight="1" spans="1:19" x14ac:dyDescent="0.25">
      <c r="A45" s="5" t="s">
        <v>627</v>
      </c>
      <c r="B45" s="5" t="s">
        <v>45</v>
      </c>
      <c r="C45" s="5" t="s">
        <v>628</v>
      </c>
      <c r="D45" s="5" t="s">
        <v>629</v>
      </c>
      <c r="E45" s="5" t="s">
        <v>630</v>
      </c>
      <c r="F45" s="5" t="s">
        <v>631</v>
      </c>
      <c r="G45" s="5" t="s">
        <v>632</v>
      </c>
      <c r="H45" s="5" t="s">
        <v>323</v>
      </c>
      <c r="I45" s="5" t="s">
        <v>269</v>
      </c>
      <c r="J45" s="5" t="s">
        <v>276</v>
      </c>
      <c r="K45" s="5" t="s">
        <v>271</v>
      </c>
      <c r="L45" s="5" t="s">
        <v>287</v>
      </c>
      <c r="M45" s="5" t="s">
        <v>73</v>
      </c>
      <c r="N45" s="5" t="s">
        <v>196</v>
      </c>
      <c r="O45" s="5" t="s">
        <v>633</v>
      </c>
      <c r="P45" s="5" t="s">
        <v>323</v>
      </c>
      <c r="Q45" s="5" t="s">
        <v>323</v>
      </c>
      <c r="R45" s="5" t="s">
        <v>323</v>
      </c>
      <c r="S45" s="5" t="s">
        <v>323</v>
      </c>
    </row>
    <row r="46" ht="72" customHeight="1" spans="1:19" x14ac:dyDescent="0.25">
      <c r="A46" s="7" t="s">
        <v>634</v>
      </c>
      <c r="B46" s="7" t="s">
        <v>45</v>
      </c>
      <c r="C46" s="7" t="s">
        <v>207</v>
      </c>
      <c r="D46" s="7" t="s">
        <v>635</v>
      </c>
      <c r="E46" s="7" t="s">
        <v>636</v>
      </c>
      <c r="F46" s="7" t="s">
        <v>637</v>
      </c>
      <c r="G46" s="7" t="s">
        <v>638</v>
      </c>
      <c r="H46" s="7" t="s">
        <v>323</v>
      </c>
      <c r="I46" s="7" t="s">
        <v>269</v>
      </c>
      <c r="J46" s="7" t="s">
        <v>276</v>
      </c>
      <c r="K46" s="7" t="s">
        <v>271</v>
      </c>
      <c r="L46" s="7" t="s">
        <v>287</v>
      </c>
      <c r="M46" s="7" t="s">
        <v>73</v>
      </c>
      <c r="N46" s="7" t="s">
        <v>196</v>
      </c>
      <c r="O46" s="7" t="s">
        <v>639</v>
      </c>
      <c r="P46" s="7" t="s">
        <v>323</v>
      </c>
      <c r="Q46" s="7" t="s">
        <v>323</v>
      </c>
      <c r="R46" s="7" t="s">
        <v>323</v>
      </c>
      <c r="S46" s="7" t="s">
        <v>323</v>
      </c>
    </row>
    <row r="47" ht="22" customHeight="1" spans="1:7" x14ac:dyDescent="0.25">
      <c r="A47" s="28" t="s">
        <v>640</v>
      </c>
      <c r="B47" s="28"/>
      <c r="C47" s="28"/>
      <c r="D47" s="28"/>
      <c r="E47" s="28"/>
      <c r="F47" s="28"/>
      <c r="G47" s="28"/>
    </row>
    <row r="48" ht="72" customHeight="1" spans="1:19" x14ac:dyDescent="0.25">
      <c r="A48" s="7" t="s">
        <v>641</v>
      </c>
      <c r="B48" s="7" t="s">
        <v>51</v>
      </c>
      <c r="C48" s="7" t="s">
        <v>642</v>
      </c>
      <c r="D48" s="7" t="s">
        <v>643</v>
      </c>
      <c r="E48" s="7" t="s">
        <v>644</v>
      </c>
      <c r="F48" s="7" t="s">
        <v>645</v>
      </c>
      <c r="G48" s="7" t="s">
        <v>646</v>
      </c>
      <c r="H48" s="7" t="s">
        <v>323</v>
      </c>
      <c r="I48" s="7" t="s">
        <v>269</v>
      </c>
      <c r="J48" s="7" t="s">
        <v>270</v>
      </c>
      <c r="K48" s="7" t="s">
        <v>271</v>
      </c>
      <c r="L48" s="7" t="s">
        <v>278</v>
      </c>
      <c r="M48" s="7" t="s">
        <v>69</v>
      </c>
      <c r="N48" s="7" t="s">
        <v>647</v>
      </c>
      <c r="O48" s="7" t="s">
        <v>103</v>
      </c>
      <c r="P48" s="7" t="s">
        <v>323</v>
      </c>
      <c r="Q48" s="7" t="s">
        <v>323</v>
      </c>
      <c r="R48" s="7" t="s">
        <v>331</v>
      </c>
      <c r="S48" s="7" t="s">
        <v>323</v>
      </c>
    </row>
    <row r="49" ht="72" customHeight="1" spans="1:19" x14ac:dyDescent="0.25">
      <c r="A49" s="5" t="s">
        <v>648</v>
      </c>
      <c r="B49" s="5" t="s">
        <v>51</v>
      </c>
      <c r="C49" s="5" t="s">
        <v>649</v>
      </c>
      <c r="D49" s="5" t="s">
        <v>650</v>
      </c>
      <c r="E49" s="5" t="s">
        <v>651</v>
      </c>
      <c r="F49" s="5" t="s">
        <v>649</v>
      </c>
      <c r="G49" s="5" t="s">
        <v>652</v>
      </c>
      <c r="H49" s="5" t="s">
        <v>323</v>
      </c>
      <c r="I49" s="5" t="s">
        <v>269</v>
      </c>
      <c r="J49" s="5" t="s">
        <v>270</v>
      </c>
      <c r="K49" s="5" t="s">
        <v>271</v>
      </c>
      <c r="L49" s="5" t="s">
        <v>278</v>
      </c>
      <c r="M49" s="5" t="s">
        <v>69</v>
      </c>
      <c r="N49" s="5" t="s">
        <v>653</v>
      </c>
      <c r="O49" s="5" t="s">
        <v>103</v>
      </c>
      <c r="P49" s="5" t="s">
        <v>323</v>
      </c>
      <c r="Q49" s="5" t="s">
        <v>323</v>
      </c>
      <c r="R49" s="5" t="s">
        <v>331</v>
      </c>
      <c r="S49" s="5" t="s">
        <v>323</v>
      </c>
    </row>
    <row r="50" ht="72" customHeight="1" spans="1:19" x14ac:dyDescent="0.25">
      <c r="A50" s="7" t="s">
        <v>654</v>
      </c>
      <c r="B50" s="7" t="s">
        <v>51</v>
      </c>
      <c r="C50" s="7" t="s">
        <v>655</v>
      </c>
      <c r="D50" s="7" t="s">
        <v>656</v>
      </c>
      <c r="E50" s="7" t="s">
        <v>657</v>
      </c>
      <c r="F50" s="7" t="s">
        <v>655</v>
      </c>
      <c r="G50" s="7" t="s">
        <v>658</v>
      </c>
      <c r="H50" s="7" t="s">
        <v>323</v>
      </c>
      <c r="I50" s="7" t="s">
        <v>269</v>
      </c>
      <c r="J50" s="7" t="s">
        <v>270</v>
      </c>
      <c r="K50" s="7" t="s">
        <v>271</v>
      </c>
      <c r="L50" s="7" t="s">
        <v>278</v>
      </c>
      <c r="M50" s="7" t="s">
        <v>69</v>
      </c>
      <c r="N50" s="7" t="s">
        <v>659</v>
      </c>
      <c r="O50" s="7" t="s">
        <v>103</v>
      </c>
      <c r="P50" s="7" t="s">
        <v>323</v>
      </c>
      <c r="Q50" s="7" t="s">
        <v>323</v>
      </c>
      <c r="R50" s="7" t="s">
        <v>331</v>
      </c>
      <c r="S50" s="7" t="s">
        <v>323</v>
      </c>
    </row>
    <row r="51" ht="72" customHeight="1" spans="1:19" x14ac:dyDescent="0.25">
      <c r="A51" s="5" t="s">
        <v>660</v>
      </c>
      <c r="B51" s="5" t="s">
        <v>51</v>
      </c>
      <c r="C51" s="5" t="s">
        <v>661</v>
      </c>
      <c r="D51" s="5" t="s">
        <v>662</v>
      </c>
      <c r="E51" s="5" t="s">
        <v>663</v>
      </c>
      <c r="F51" s="5" t="s">
        <v>664</v>
      </c>
      <c r="G51" s="5" t="s">
        <v>665</v>
      </c>
      <c r="H51" s="5" t="s">
        <v>323</v>
      </c>
      <c r="I51" s="5" t="s">
        <v>269</v>
      </c>
      <c r="J51" s="5" t="s">
        <v>276</v>
      </c>
      <c r="K51" s="5" t="s">
        <v>271</v>
      </c>
      <c r="L51" s="5" t="s">
        <v>287</v>
      </c>
      <c r="M51" s="5" t="s">
        <v>73</v>
      </c>
      <c r="N51" s="5" t="s">
        <v>196</v>
      </c>
      <c r="O51" s="5" t="s">
        <v>666</v>
      </c>
      <c r="P51" s="5" t="s">
        <v>323</v>
      </c>
      <c r="Q51" s="5" t="s">
        <v>323</v>
      </c>
      <c r="R51" s="5" t="s">
        <v>331</v>
      </c>
      <c r="S51" s="5" t="s">
        <v>323</v>
      </c>
    </row>
    <row r="52" ht="72" customHeight="1" spans="1:19" x14ac:dyDescent="0.25">
      <c r="A52" s="7" t="s">
        <v>667</v>
      </c>
      <c r="B52" s="7" t="s">
        <v>51</v>
      </c>
      <c r="C52" s="7" t="s">
        <v>668</v>
      </c>
      <c r="D52" s="7" t="s">
        <v>669</v>
      </c>
      <c r="E52" s="7" t="s">
        <v>670</v>
      </c>
      <c r="F52" s="7" t="s">
        <v>671</v>
      </c>
      <c r="G52" s="7" t="s">
        <v>672</v>
      </c>
      <c r="H52" s="7" t="s">
        <v>323</v>
      </c>
      <c r="I52" s="7" t="s">
        <v>269</v>
      </c>
      <c r="J52" s="7" t="s">
        <v>276</v>
      </c>
      <c r="K52" s="7" t="s">
        <v>271</v>
      </c>
      <c r="L52" s="7" t="s">
        <v>287</v>
      </c>
      <c r="M52" s="7" t="s">
        <v>73</v>
      </c>
      <c r="N52" s="7" t="s">
        <v>196</v>
      </c>
      <c r="O52" s="7" t="s">
        <v>673</v>
      </c>
      <c r="P52" s="7" t="s">
        <v>323</v>
      </c>
      <c r="Q52" s="7" t="s">
        <v>323</v>
      </c>
      <c r="R52" s="7" t="s">
        <v>331</v>
      </c>
      <c r="S52" s="7" t="s">
        <v>323</v>
      </c>
    </row>
    <row r="53" ht="72" customHeight="1" spans="1:19" x14ac:dyDescent="0.25">
      <c r="A53" s="5" t="s">
        <v>674</v>
      </c>
      <c r="B53" s="5" t="s">
        <v>51</v>
      </c>
      <c r="C53" s="5" t="s">
        <v>675</v>
      </c>
      <c r="D53" s="5" t="s">
        <v>676</v>
      </c>
      <c r="E53" s="5" t="s">
        <v>677</v>
      </c>
      <c r="F53" s="5" t="s">
        <v>678</v>
      </c>
      <c r="G53" s="5" t="s">
        <v>679</v>
      </c>
      <c r="H53" s="5" t="s">
        <v>323</v>
      </c>
      <c r="I53" s="5" t="s">
        <v>269</v>
      </c>
      <c r="J53" s="5" t="s">
        <v>276</v>
      </c>
      <c r="K53" s="5" t="s">
        <v>271</v>
      </c>
      <c r="L53" s="5" t="s">
        <v>287</v>
      </c>
      <c r="M53" s="5" t="s">
        <v>73</v>
      </c>
      <c r="N53" s="5" t="s">
        <v>196</v>
      </c>
      <c r="O53" s="5" t="s">
        <v>680</v>
      </c>
      <c r="P53" s="5" t="s">
        <v>323</v>
      </c>
      <c r="Q53" s="5" t="s">
        <v>323</v>
      </c>
      <c r="R53" s="5" t="s">
        <v>331</v>
      </c>
      <c r="S53" s="5" t="s">
        <v>323</v>
      </c>
    </row>
    <row r="54" ht="72" customHeight="1" spans="1:19" x14ac:dyDescent="0.25">
      <c r="A54" s="7" t="s">
        <v>681</v>
      </c>
      <c r="B54" s="7" t="s">
        <v>51</v>
      </c>
      <c r="C54" s="7" t="s">
        <v>207</v>
      </c>
      <c r="D54" s="7" t="s">
        <v>682</v>
      </c>
      <c r="E54" s="7" t="s">
        <v>683</v>
      </c>
      <c r="F54" s="7" t="s">
        <v>684</v>
      </c>
      <c r="G54" s="7" t="s">
        <v>685</v>
      </c>
      <c r="H54" s="7" t="s">
        <v>323</v>
      </c>
      <c r="I54" s="7" t="s">
        <v>269</v>
      </c>
      <c r="J54" s="7" t="s">
        <v>276</v>
      </c>
      <c r="K54" s="7" t="s">
        <v>271</v>
      </c>
      <c r="L54" s="7" t="s">
        <v>287</v>
      </c>
      <c r="M54" s="7" t="s">
        <v>73</v>
      </c>
      <c r="N54" s="7" t="s">
        <v>196</v>
      </c>
      <c r="O54" s="7" t="s">
        <v>686</v>
      </c>
      <c r="P54" s="7" t="s">
        <v>323</v>
      </c>
      <c r="Q54" s="7" t="s">
        <v>323</v>
      </c>
      <c r="R54" s="7" t="s">
        <v>323</v>
      </c>
      <c r="S54" s="7" t="s">
        <v>323</v>
      </c>
    </row>
    <row r="55" ht="22" customHeight="1" spans="1:7" x14ac:dyDescent="0.25">
      <c r="A55" s="28" t="s">
        <v>687</v>
      </c>
      <c r="B55" s="28"/>
      <c r="C55" s="28"/>
      <c r="D55" s="28"/>
      <c r="E55" s="28"/>
      <c r="F55" s="28"/>
      <c r="G55" s="28"/>
    </row>
    <row r="56" ht="72" customHeight="1" spans="1:19" x14ac:dyDescent="0.25">
      <c r="A56" s="7" t="s">
        <v>688</v>
      </c>
      <c r="B56" s="7" t="s">
        <v>57</v>
      </c>
      <c r="C56" s="7" t="s">
        <v>689</v>
      </c>
      <c r="D56" s="7" t="s">
        <v>690</v>
      </c>
      <c r="E56" s="7" t="s">
        <v>691</v>
      </c>
      <c r="F56" s="7" t="s">
        <v>692</v>
      </c>
      <c r="G56" s="7" t="s">
        <v>693</v>
      </c>
      <c r="H56" s="7" t="s">
        <v>323</v>
      </c>
      <c r="I56" s="7" t="s">
        <v>269</v>
      </c>
      <c r="J56" s="7" t="s">
        <v>270</v>
      </c>
      <c r="K56" s="7" t="s">
        <v>271</v>
      </c>
      <c r="L56" s="7" t="s">
        <v>278</v>
      </c>
      <c r="M56" s="7" t="s">
        <v>69</v>
      </c>
      <c r="N56" s="7" t="s">
        <v>694</v>
      </c>
      <c r="O56" s="7" t="s">
        <v>108</v>
      </c>
      <c r="P56" s="7" t="s">
        <v>323</v>
      </c>
      <c r="Q56" s="7" t="s">
        <v>323</v>
      </c>
      <c r="R56" s="7" t="s">
        <v>313</v>
      </c>
      <c r="S56" s="7" t="s">
        <v>323</v>
      </c>
    </row>
    <row r="57" ht="72" customHeight="1" spans="1:19" x14ac:dyDescent="0.25">
      <c r="A57" s="5" t="s">
        <v>695</v>
      </c>
      <c r="B57" s="5" t="s">
        <v>57</v>
      </c>
      <c r="C57" s="5" t="s">
        <v>696</v>
      </c>
      <c r="D57" s="5" t="s">
        <v>697</v>
      </c>
      <c r="E57" s="5" t="s">
        <v>698</v>
      </c>
      <c r="F57" s="5" t="s">
        <v>699</v>
      </c>
      <c r="G57" s="5" t="s">
        <v>700</v>
      </c>
      <c r="H57" s="5" t="s">
        <v>323</v>
      </c>
      <c r="I57" s="5" t="s">
        <v>269</v>
      </c>
      <c r="J57" s="5" t="s">
        <v>270</v>
      </c>
      <c r="K57" s="5" t="s">
        <v>271</v>
      </c>
      <c r="L57" s="5" t="s">
        <v>287</v>
      </c>
      <c r="M57" s="5" t="s">
        <v>73</v>
      </c>
      <c r="N57" s="5" t="s">
        <v>196</v>
      </c>
      <c r="O57" s="5" t="s">
        <v>701</v>
      </c>
      <c r="P57" s="5" t="s">
        <v>323</v>
      </c>
      <c r="Q57" s="5" t="s">
        <v>323</v>
      </c>
      <c r="R57" s="5" t="s">
        <v>313</v>
      </c>
      <c r="S57" s="5" t="s">
        <v>323</v>
      </c>
    </row>
    <row r="58" ht="72" customHeight="1" spans="1:19" x14ac:dyDescent="0.25">
      <c r="A58" s="7" t="s">
        <v>702</v>
      </c>
      <c r="B58" s="7" t="s">
        <v>57</v>
      </c>
      <c r="C58" s="7" t="s">
        <v>703</v>
      </c>
      <c r="D58" s="7" t="s">
        <v>704</v>
      </c>
      <c r="E58" s="7" t="s">
        <v>705</v>
      </c>
      <c r="F58" s="7" t="s">
        <v>706</v>
      </c>
      <c r="G58" s="7" t="s">
        <v>707</v>
      </c>
      <c r="H58" s="7" t="s">
        <v>323</v>
      </c>
      <c r="I58" s="7" t="s">
        <v>269</v>
      </c>
      <c r="J58" s="7" t="s">
        <v>270</v>
      </c>
      <c r="K58" s="7" t="s">
        <v>271</v>
      </c>
      <c r="L58" s="7" t="s">
        <v>278</v>
      </c>
      <c r="M58" s="7" t="s">
        <v>69</v>
      </c>
      <c r="N58" s="7" t="s">
        <v>708</v>
      </c>
      <c r="O58" s="7" t="s">
        <v>108</v>
      </c>
      <c r="P58" s="7" t="s">
        <v>323</v>
      </c>
      <c r="Q58" s="7" t="s">
        <v>323</v>
      </c>
      <c r="R58" s="7" t="s">
        <v>313</v>
      </c>
      <c r="S58" s="7" t="s">
        <v>323</v>
      </c>
    </row>
    <row r="59" ht="72" customHeight="1" spans="1:19" x14ac:dyDescent="0.25">
      <c r="A59" s="5" t="s">
        <v>709</v>
      </c>
      <c r="B59" s="5" t="s">
        <v>57</v>
      </c>
      <c r="C59" s="5" t="s">
        <v>710</v>
      </c>
      <c r="D59" s="5" t="s">
        <v>711</v>
      </c>
      <c r="E59" s="5" t="s">
        <v>712</v>
      </c>
      <c r="F59" s="5" t="s">
        <v>713</v>
      </c>
      <c r="G59" s="5" t="s">
        <v>714</v>
      </c>
      <c r="H59" s="5" t="s">
        <v>323</v>
      </c>
      <c r="I59" s="5" t="s">
        <v>269</v>
      </c>
      <c r="J59" s="5" t="s">
        <v>276</v>
      </c>
      <c r="K59" s="5" t="s">
        <v>271</v>
      </c>
      <c r="L59" s="5" t="s">
        <v>287</v>
      </c>
      <c r="M59" s="5" t="s">
        <v>73</v>
      </c>
      <c r="N59" s="5" t="s">
        <v>196</v>
      </c>
      <c r="O59" s="5" t="s">
        <v>715</v>
      </c>
      <c r="P59" s="5" t="s">
        <v>323</v>
      </c>
      <c r="Q59" s="5" t="s">
        <v>323</v>
      </c>
      <c r="R59" s="5" t="s">
        <v>313</v>
      </c>
      <c r="S59" s="5" t="s">
        <v>323</v>
      </c>
    </row>
    <row r="60" ht="72" customHeight="1" spans="1:19" x14ac:dyDescent="0.25">
      <c r="A60" s="7" t="s">
        <v>716</v>
      </c>
      <c r="B60" s="7" t="s">
        <v>57</v>
      </c>
      <c r="C60" s="7" t="s">
        <v>717</v>
      </c>
      <c r="D60" s="7" t="s">
        <v>718</v>
      </c>
      <c r="E60" s="7" t="s">
        <v>719</v>
      </c>
      <c r="F60" s="7" t="s">
        <v>720</v>
      </c>
      <c r="G60" s="7" t="s">
        <v>721</v>
      </c>
      <c r="H60" s="7" t="s">
        <v>323</v>
      </c>
      <c r="I60" s="7" t="s">
        <v>269</v>
      </c>
      <c r="J60" s="7" t="s">
        <v>270</v>
      </c>
      <c r="K60" s="7" t="s">
        <v>271</v>
      </c>
      <c r="L60" s="7" t="s">
        <v>278</v>
      </c>
      <c r="M60" s="7" t="s">
        <v>69</v>
      </c>
      <c r="N60" s="7" t="s">
        <v>722</v>
      </c>
      <c r="O60" s="7" t="s">
        <v>108</v>
      </c>
      <c r="P60" s="7" t="s">
        <v>323</v>
      </c>
      <c r="Q60" s="7" t="s">
        <v>323</v>
      </c>
      <c r="R60" s="7" t="s">
        <v>313</v>
      </c>
      <c r="S60" s="7" t="s">
        <v>323</v>
      </c>
    </row>
    <row r="61" ht="72" customHeight="1" spans="1:19" x14ac:dyDescent="0.25">
      <c r="A61" s="5" t="s">
        <v>723</v>
      </c>
      <c r="B61" s="5" t="s">
        <v>57</v>
      </c>
      <c r="C61" s="5" t="s">
        <v>724</v>
      </c>
      <c r="D61" s="5" t="s">
        <v>725</v>
      </c>
      <c r="E61" s="5" t="s">
        <v>726</v>
      </c>
      <c r="F61" s="5" t="s">
        <v>727</v>
      </c>
      <c r="G61" s="5" t="s">
        <v>728</v>
      </c>
      <c r="H61" s="5" t="s">
        <v>323</v>
      </c>
      <c r="I61" s="5" t="s">
        <v>269</v>
      </c>
      <c r="J61" s="5" t="s">
        <v>276</v>
      </c>
      <c r="K61" s="5" t="s">
        <v>271</v>
      </c>
      <c r="L61" s="5" t="s">
        <v>287</v>
      </c>
      <c r="M61" s="5" t="s">
        <v>73</v>
      </c>
      <c r="N61" s="5" t="s">
        <v>196</v>
      </c>
      <c r="O61" s="5" t="s">
        <v>729</v>
      </c>
      <c r="P61" s="5" t="s">
        <v>323</v>
      </c>
      <c r="Q61" s="5" t="s">
        <v>323</v>
      </c>
      <c r="R61" s="5" t="s">
        <v>313</v>
      </c>
      <c r="S61" s="5" t="s">
        <v>323</v>
      </c>
    </row>
    <row r="62" ht="72" customHeight="1" spans="1:19" x14ac:dyDescent="0.25">
      <c r="A62" s="7" t="s">
        <v>730</v>
      </c>
      <c r="B62" s="7" t="s">
        <v>57</v>
      </c>
      <c r="C62" s="7" t="s">
        <v>206</v>
      </c>
      <c r="D62" s="7" t="s">
        <v>731</v>
      </c>
      <c r="E62" s="7" t="s">
        <v>732</v>
      </c>
      <c r="F62" s="7" t="s">
        <v>733</v>
      </c>
      <c r="G62" s="7" t="s">
        <v>734</v>
      </c>
      <c r="H62" s="7" t="s">
        <v>323</v>
      </c>
      <c r="I62" s="7" t="s">
        <v>269</v>
      </c>
      <c r="J62" s="7" t="s">
        <v>276</v>
      </c>
      <c r="K62" s="7" t="s">
        <v>271</v>
      </c>
      <c r="L62" s="7" t="s">
        <v>278</v>
      </c>
      <c r="M62" s="7" t="s">
        <v>69</v>
      </c>
      <c r="N62" s="7" t="s">
        <v>735</v>
      </c>
      <c r="O62" s="7" t="s">
        <v>736</v>
      </c>
      <c r="P62" s="7" t="s">
        <v>323</v>
      </c>
      <c r="Q62" s="7" t="s">
        <v>323</v>
      </c>
      <c r="R62" s="7" t="s">
        <v>313</v>
      </c>
      <c r="S62" s="7" t="s">
        <v>323</v>
      </c>
    </row>
    <row r="63" ht="72" customHeight="1" spans="1:19" x14ac:dyDescent="0.25">
      <c r="A63" s="5" t="s">
        <v>737</v>
      </c>
      <c r="B63" s="5" t="s">
        <v>57</v>
      </c>
      <c r="C63" s="5" t="s">
        <v>738</v>
      </c>
      <c r="D63" s="5" t="s">
        <v>739</v>
      </c>
      <c r="E63" s="5" t="s">
        <v>740</v>
      </c>
      <c r="F63" s="5" t="s">
        <v>741</v>
      </c>
      <c r="G63" s="5" t="s">
        <v>742</v>
      </c>
      <c r="H63" s="5" t="s">
        <v>323</v>
      </c>
      <c r="I63" s="5" t="s">
        <v>269</v>
      </c>
      <c r="J63" s="5" t="s">
        <v>281</v>
      </c>
      <c r="K63" s="5" t="s">
        <v>271</v>
      </c>
      <c r="L63" s="5" t="s">
        <v>287</v>
      </c>
      <c r="M63" s="5" t="s">
        <v>73</v>
      </c>
      <c r="N63" s="5" t="s">
        <v>196</v>
      </c>
      <c r="O63" s="5" t="s">
        <v>743</v>
      </c>
      <c r="P63" s="5" t="s">
        <v>323</v>
      </c>
      <c r="Q63" s="5" t="s">
        <v>323</v>
      </c>
      <c r="R63" s="5" t="s">
        <v>313</v>
      </c>
      <c r="S63" s="5" t="s">
        <v>323</v>
      </c>
    </row>
    <row r="64" ht="72" customHeight="1" spans="1:19" x14ac:dyDescent="0.25">
      <c r="A64" s="7" t="s">
        <v>744</v>
      </c>
      <c r="B64" s="7" t="s">
        <v>57</v>
      </c>
      <c r="C64" s="7" t="s">
        <v>207</v>
      </c>
      <c r="D64" s="7" t="s">
        <v>745</v>
      </c>
      <c r="E64" s="7" t="s">
        <v>746</v>
      </c>
      <c r="F64" s="7" t="s">
        <v>747</v>
      </c>
      <c r="G64" s="7" t="s">
        <v>748</v>
      </c>
      <c r="H64" s="7" t="s">
        <v>323</v>
      </c>
      <c r="I64" s="7" t="s">
        <v>269</v>
      </c>
      <c r="J64" s="7" t="s">
        <v>276</v>
      </c>
      <c r="K64" s="7" t="s">
        <v>271</v>
      </c>
      <c r="L64" s="7" t="s">
        <v>287</v>
      </c>
      <c r="M64" s="7" t="s">
        <v>73</v>
      </c>
      <c r="N64" s="7" t="s">
        <v>196</v>
      </c>
      <c r="O64" s="7" t="s">
        <v>749</v>
      </c>
      <c r="P64" s="7" t="s">
        <v>323</v>
      </c>
      <c r="Q64" s="7" t="s">
        <v>323</v>
      </c>
      <c r="R64" s="7" t="s">
        <v>313</v>
      </c>
      <c r="S64" s="7" t="s">
        <v>323</v>
      </c>
    </row>
    <row r="65" ht="22" customHeight="1" spans="1:7" x14ac:dyDescent="0.25">
      <c r="A65" s="28" t="s">
        <v>750</v>
      </c>
      <c r="B65" s="28"/>
      <c r="C65" s="28"/>
      <c r="D65" s="28"/>
      <c r="E65" s="28"/>
      <c r="F65" s="28"/>
      <c r="G65" s="28"/>
    </row>
    <row r="66" ht="72" customHeight="1" spans="1:19" x14ac:dyDescent="0.25">
      <c r="A66" s="7" t="s">
        <v>751</v>
      </c>
      <c r="B66" s="7" t="s">
        <v>60</v>
      </c>
      <c r="C66" s="7" t="s">
        <v>689</v>
      </c>
      <c r="D66" s="7" t="s">
        <v>752</v>
      </c>
      <c r="E66" s="7" t="s">
        <v>691</v>
      </c>
      <c r="F66" s="7" t="s">
        <v>753</v>
      </c>
      <c r="G66" s="7" t="s">
        <v>754</v>
      </c>
      <c r="H66" s="7" t="s">
        <v>323</v>
      </c>
      <c r="I66" s="7" t="s">
        <v>269</v>
      </c>
      <c r="J66" s="7" t="s">
        <v>270</v>
      </c>
      <c r="K66" s="7" t="s">
        <v>271</v>
      </c>
      <c r="L66" s="7" t="s">
        <v>278</v>
      </c>
      <c r="M66" s="7" t="s">
        <v>69</v>
      </c>
      <c r="N66" s="7" t="s">
        <v>755</v>
      </c>
      <c r="O66" s="7" t="s">
        <v>112</v>
      </c>
      <c r="P66" s="7" t="s">
        <v>323</v>
      </c>
      <c r="Q66" s="7" t="s">
        <v>323</v>
      </c>
      <c r="R66" s="7" t="s">
        <v>313</v>
      </c>
      <c r="S66" s="7" t="s">
        <v>323</v>
      </c>
    </row>
    <row r="67" ht="72" customHeight="1" spans="1:19" x14ac:dyDescent="0.25">
      <c r="A67" s="5" t="s">
        <v>756</v>
      </c>
      <c r="B67" s="5" t="s">
        <v>60</v>
      </c>
      <c r="C67" s="5" t="s">
        <v>757</v>
      </c>
      <c r="D67" s="5" t="s">
        <v>697</v>
      </c>
      <c r="E67" s="5" t="s">
        <v>698</v>
      </c>
      <c r="F67" s="5" t="s">
        <v>699</v>
      </c>
      <c r="G67" s="5" t="s">
        <v>700</v>
      </c>
      <c r="H67" s="5" t="s">
        <v>323</v>
      </c>
      <c r="I67" s="5" t="s">
        <v>269</v>
      </c>
      <c r="J67" s="5" t="s">
        <v>270</v>
      </c>
      <c r="K67" s="5" t="s">
        <v>271</v>
      </c>
      <c r="L67" s="5" t="s">
        <v>287</v>
      </c>
      <c r="M67" s="5" t="s">
        <v>73</v>
      </c>
      <c r="N67" s="5" t="s">
        <v>196</v>
      </c>
      <c r="O67" s="5" t="s">
        <v>758</v>
      </c>
      <c r="P67" s="5" t="s">
        <v>323</v>
      </c>
      <c r="Q67" s="5" t="s">
        <v>323</v>
      </c>
      <c r="R67" s="5" t="s">
        <v>313</v>
      </c>
      <c r="S67" s="5" t="s">
        <v>323</v>
      </c>
    </row>
    <row r="68" ht="72" customHeight="1" spans="1:19" x14ac:dyDescent="0.25">
      <c r="A68" s="7" t="s">
        <v>759</v>
      </c>
      <c r="B68" s="7" t="s">
        <v>60</v>
      </c>
      <c r="C68" s="7" t="s">
        <v>703</v>
      </c>
      <c r="D68" s="7" t="s">
        <v>704</v>
      </c>
      <c r="E68" s="7" t="s">
        <v>705</v>
      </c>
      <c r="F68" s="7" t="s">
        <v>706</v>
      </c>
      <c r="G68" s="7" t="s">
        <v>707</v>
      </c>
      <c r="H68" s="7" t="s">
        <v>323</v>
      </c>
      <c r="I68" s="7" t="s">
        <v>269</v>
      </c>
      <c r="J68" s="7" t="s">
        <v>270</v>
      </c>
      <c r="K68" s="7" t="s">
        <v>271</v>
      </c>
      <c r="L68" s="7" t="s">
        <v>278</v>
      </c>
      <c r="M68" s="7" t="s">
        <v>69</v>
      </c>
      <c r="N68" s="7" t="s">
        <v>760</v>
      </c>
      <c r="O68" s="7" t="s">
        <v>112</v>
      </c>
      <c r="P68" s="7" t="s">
        <v>323</v>
      </c>
      <c r="Q68" s="7" t="s">
        <v>323</v>
      </c>
      <c r="R68" s="7" t="s">
        <v>313</v>
      </c>
      <c r="S68" s="7" t="s">
        <v>323</v>
      </c>
    </row>
    <row r="69" ht="72" customHeight="1" spans="1:19" x14ac:dyDescent="0.25">
      <c r="A69" s="5" t="s">
        <v>761</v>
      </c>
      <c r="B69" s="5" t="s">
        <v>60</v>
      </c>
      <c r="C69" s="5" t="s">
        <v>762</v>
      </c>
      <c r="D69" s="5" t="s">
        <v>711</v>
      </c>
      <c r="E69" s="5" t="s">
        <v>712</v>
      </c>
      <c r="F69" s="5" t="s">
        <v>713</v>
      </c>
      <c r="G69" s="5" t="s">
        <v>763</v>
      </c>
      <c r="H69" s="5" t="s">
        <v>323</v>
      </c>
      <c r="I69" s="5" t="s">
        <v>269</v>
      </c>
      <c r="J69" s="5" t="s">
        <v>276</v>
      </c>
      <c r="K69" s="5" t="s">
        <v>271</v>
      </c>
      <c r="L69" s="5" t="s">
        <v>287</v>
      </c>
      <c r="M69" s="5" t="s">
        <v>73</v>
      </c>
      <c r="N69" s="5" t="s">
        <v>196</v>
      </c>
      <c r="O69" s="5" t="s">
        <v>764</v>
      </c>
      <c r="P69" s="5" t="s">
        <v>323</v>
      </c>
      <c r="Q69" s="5" t="s">
        <v>323</v>
      </c>
      <c r="R69" s="5" t="s">
        <v>313</v>
      </c>
      <c r="S69" s="5" t="s">
        <v>323</v>
      </c>
    </row>
    <row r="70" ht="72" customHeight="1" spans="1:19" x14ac:dyDescent="0.25">
      <c r="A70" s="7" t="s">
        <v>765</v>
      </c>
      <c r="B70" s="7" t="s">
        <v>60</v>
      </c>
      <c r="C70" s="7" t="s">
        <v>717</v>
      </c>
      <c r="D70" s="7" t="s">
        <v>718</v>
      </c>
      <c r="E70" s="7" t="s">
        <v>719</v>
      </c>
      <c r="F70" s="7" t="s">
        <v>766</v>
      </c>
      <c r="G70" s="7" t="s">
        <v>767</v>
      </c>
      <c r="H70" s="7" t="s">
        <v>323</v>
      </c>
      <c r="I70" s="7" t="s">
        <v>269</v>
      </c>
      <c r="J70" s="7" t="s">
        <v>270</v>
      </c>
      <c r="K70" s="7" t="s">
        <v>271</v>
      </c>
      <c r="L70" s="7" t="s">
        <v>278</v>
      </c>
      <c r="M70" s="7" t="s">
        <v>69</v>
      </c>
      <c r="N70" s="7" t="s">
        <v>768</v>
      </c>
      <c r="O70" s="7" t="s">
        <v>112</v>
      </c>
      <c r="P70" s="7" t="s">
        <v>323</v>
      </c>
      <c r="Q70" s="7" t="s">
        <v>323</v>
      </c>
      <c r="R70" s="7" t="s">
        <v>313</v>
      </c>
      <c r="S70" s="7" t="s">
        <v>323</v>
      </c>
    </row>
    <row r="71" ht="72" customHeight="1" spans="1:19" x14ac:dyDescent="0.25">
      <c r="A71" s="5" t="s">
        <v>769</v>
      </c>
      <c r="B71" s="5" t="s">
        <v>60</v>
      </c>
      <c r="C71" s="5" t="s">
        <v>770</v>
      </c>
      <c r="D71" s="5" t="s">
        <v>725</v>
      </c>
      <c r="E71" s="5" t="s">
        <v>726</v>
      </c>
      <c r="F71" s="5" t="s">
        <v>727</v>
      </c>
      <c r="G71" s="5" t="s">
        <v>771</v>
      </c>
      <c r="H71" s="5" t="s">
        <v>323</v>
      </c>
      <c r="I71" s="5" t="s">
        <v>269</v>
      </c>
      <c r="J71" s="5" t="s">
        <v>276</v>
      </c>
      <c r="K71" s="5" t="s">
        <v>271</v>
      </c>
      <c r="L71" s="5" t="s">
        <v>287</v>
      </c>
      <c r="M71" s="5" t="s">
        <v>73</v>
      </c>
      <c r="N71" s="5" t="s">
        <v>196</v>
      </c>
      <c r="O71" s="5" t="s">
        <v>772</v>
      </c>
      <c r="P71" s="5" t="s">
        <v>323</v>
      </c>
      <c r="Q71" s="5" t="s">
        <v>323</v>
      </c>
      <c r="R71" s="5" t="s">
        <v>313</v>
      </c>
      <c r="S71" s="5" t="s">
        <v>323</v>
      </c>
    </row>
    <row r="72" ht="72" customHeight="1" spans="1:19" x14ac:dyDescent="0.25">
      <c r="A72" s="7" t="s">
        <v>773</v>
      </c>
      <c r="B72" s="7" t="s">
        <v>60</v>
      </c>
      <c r="C72" s="7" t="s">
        <v>206</v>
      </c>
      <c r="D72" s="7" t="s">
        <v>774</v>
      </c>
      <c r="E72" s="7" t="s">
        <v>732</v>
      </c>
      <c r="F72" s="7" t="s">
        <v>775</v>
      </c>
      <c r="G72" s="7" t="s">
        <v>776</v>
      </c>
      <c r="H72" s="7" t="s">
        <v>323</v>
      </c>
      <c r="I72" s="7" t="s">
        <v>269</v>
      </c>
      <c r="J72" s="7" t="s">
        <v>276</v>
      </c>
      <c r="K72" s="7" t="s">
        <v>271</v>
      </c>
      <c r="L72" s="7" t="s">
        <v>278</v>
      </c>
      <c r="M72" s="7" t="s">
        <v>69</v>
      </c>
      <c r="N72" s="7" t="s">
        <v>777</v>
      </c>
      <c r="O72" s="7" t="s">
        <v>778</v>
      </c>
      <c r="P72" s="7" t="s">
        <v>323</v>
      </c>
      <c r="Q72" s="7" t="s">
        <v>323</v>
      </c>
      <c r="R72" s="7" t="s">
        <v>313</v>
      </c>
      <c r="S72" s="7" t="s">
        <v>323</v>
      </c>
    </row>
    <row r="73" ht="72" customHeight="1" spans="1:19" x14ac:dyDescent="0.25">
      <c r="A73" s="5" t="s">
        <v>779</v>
      </c>
      <c r="B73" s="5" t="s">
        <v>60</v>
      </c>
      <c r="C73" s="5" t="s">
        <v>738</v>
      </c>
      <c r="D73" s="5" t="s">
        <v>739</v>
      </c>
      <c r="E73" s="5" t="s">
        <v>740</v>
      </c>
      <c r="F73" s="5" t="s">
        <v>780</v>
      </c>
      <c r="G73" s="5" t="s">
        <v>742</v>
      </c>
      <c r="H73" s="5" t="s">
        <v>323</v>
      </c>
      <c r="I73" s="5" t="s">
        <v>269</v>
      </c>
      <c r="J73" s="5" t="s">
        <v>281</v>
      </c>
      <c r="K73" s="5" t="s">
        <v>271</v>
      </c>
      <c r="L73" s="5" t="s">
        <v>287</v>
      </c>
      <c r="M73" s="5" t="s">
        <v>73</v>
      </c>
      <c r="N73" s="5" t="s">
        <v>196</v>
      </c>
      <c r="O73" s="5" t="s">
        <v>781</v>
      </c>
      <c r="P73" s="5" t="s">
        <v>323</v>
      </c>
      <c r="Q73" s="5" t="s">
        <v>323</v>
      </c>
      <c r="R73" s="5" t="s">
        <v>313</v>
      </c>
      <c r="S73" s="5" t="s">
        <v>323</v>
      </c>
    </row>
    <row r="74" ht="72" customHeight="1" spans="1:19" x14ac:dyDescent="0.25">
      <c r="A74" s="7" t="s">
        <v>782</v>
      </c>
      <c r="B74" s="7" t="s">
        <v>60</v>
      </c>
      <c r="C74" s="7" t="s">
        <v>207</v>
      </c>
      <c r="D74" s="7" t="s">
        <v>783</v>
      </c>
      <c r="E74" s="7" t="s">
        <v>784</v>
      </c>
      <c r="F74" s="7" t="s">
        <v>747</v>
      </c>
      <c r="G74" s="7" t="s">
        <v>785</v>
      </c>
      <c r="H74" s="7" t="s">
        <v>323</v>
      </c>
      <c r="I74" s="7" t="s">
        <v>269</v>
      </c>
      <c r="J74" s="7" t="s">
        <v>276</v>
      </c>
      <c r="K74" s="7" t="s">
        <v>271</v>
      </c>
      <c r="L74" s="7" t="s">
        <v>287</v>
      </c>
      <c r="M74" s="7" t="s">
        <v>73</v>
      </c>
      <c r="N74" s="7" t="s">
        <v>196</v>
      </c>
      <c r="O74" s="7" t="s">
        <v>786</v>
      </c>
      <c r="P74" s="7" t="s">
        <v>323</v>
      </c>
      <c r="Q74" s="7" t="s">
        <v>323</v>
      </c>
      <c r="R74" s="7" t="s">
        <v>313</v>
      </c>
      <c r="S74" s="7" t="s">
        <v>323</v>
      </c>
    </row>
    <row r="75" ht="22" customHeight="1" spans="1:7" x14ac:dyDescent="0.25">
      <c r="A75" s="28" t="s">
        <v>787</v>
      </c>
      <c r="B75" s="28"/>
      <c r="C75" s="28"/>
      <c r="D75" s="28"/>
      <c r="E75" s="28"/>
      <c r="F75" s="28"/>
      <c r="G75" s="28"/>
    </row>
    <row r="76" ht="72" customHeight="1" spans="1:19" x14ac:dyDescent="0.25">
      <c r="A76" s="7" t="s">
        <v>788</v>
      </c>
      <c r="B76" s="7" t="s">
        <v>54</v>
      </c>
      <c r="C76" s="7" t="s">
        <v>789</v>
      </c>
      <c r="D76" s="7" t="s">
        <v>790</v>
      </c>
      <c r="E76" s="7" t="s">
        <v>791</v>
      </c>
      <c r="F76" s="7" t="s">
        <v>792</v>
      </c>
      <c r="G76" s="7" t="s">
        <v>793</v>
      </c>
      <c r="H76" s="7" t="s">
        <v>323</v>
      </c>
      <c r="I76" s="7" t="s">
        <v>269</v>
      </c>
      <c r="J76" s="7" t="s">
        <v>270</v>
      </c>
      <c r="K76" s="7" t="s">
        <v>271</v>
      </c>
      <c r="L76" s="7" t="s">
        <v>278</v>
      </c>
      <c r="M76" s="7" t="s">
        <v>69</v>
      </c>
      <c r="N76" s="7" t="s">
        <v>794</v>
      </c>
      <c r="O76" s="7" t="s">
        <v>117</v>
      </c>
      <c r="P76" s="7" t="s">
        <v>323</v>
      </c>
      <c r="Q76" s="7" t="s">
        <v>323</v>
      </c>
      <c r="R76" s="7" t="s">
        <v>313</v>
      </c>
      <c r="S76" s="7" t="s">
        <v>323</v>
      </c>
    </row>
    <row r="77" ht="72" customHeight="1" spans="1:19" x14ac:dyDescent="0.25">
      <c r="A77" s="5" t="s">
        <v>795</v>
      </c>
      <c r="B77" s="5" t="s">
        <v>54</v>
      </c>
      <c r="C77" s="5" t="s">
        <v>796</v>
      </c>
      <c r="D77" s="5" t="s">
        <v>797</v>
      </c>
      <c r="E77" s="5" t="s">
        <v>798</v>
      </c>
      <c r="F77" s="5" t="s">
        <v>799</v>
      </c>
      <c r="G77" s="5" t="s">
        <v>800</v>
      </c>
      <c r="H77" s="5" t="s">
        <v>323</v>
      </c>
      <c r="I77" s="5" t="s">
        <v>269</v>
      </c>
      <c r="J77" s="5" t="s">
        <v>270</v>
      </c>
      <c r="K77" s="5" t="s">
        <v>271</v>
      </c>
      <c r="L77" s="5" t="s">
        <v>278</v>
      </c>
      <c r="M77" s="5" t="s">
        <v>69</v>
      </c>
      <c r="N77" s="5" t="s">
        <v>801</v>
      </c>
      <c r="O77" s="5" t="s">
        <v>117</v>
      </c>
      <c r="P77" s="5" t="s">
        <v>323</v>
      </c>
      <c r="Q77" s="5" t="s">
        <v>323</v>
      </c>
      <c r="R77" s="5" t="s">
        <v>313</v>
      </c>
      <c r="S77" s="5" t="s">
        <v>323</v>
      </c>
    </row>
    <row r="78" ht="72" customHeight="1" spans="1:19" x14ac:dyDescent="0.25">
      <c r="A78" s="7" t="s">
        <v>802</v>
      </c>
      <c r="B78" s="7" t="s">
        <v>54</v>
      </c>
      <c r="C78" s="7" t="s">
        <v>803</v>
      </c>
      <c r="D78" s="7" t="s">
        <v>804</v>
      </c>
      <c r="E78" s="7" t="s">
        <v>805</v>
      </c>
      <c r="F78" s="7" t="s">
        <v>806</v>
      </c>
      <c r="G78" s="7" t="s">
        <v>807</v>
      </c>
      <c r="H78" s="7" t="s">
        <v>323</v>
      </c>
      <c r="I78" s="7" t="s">
        <v>269</v>
      </c>
      <c r="J78" s="7" t="s">
        <v>270</v>
      </c>
      <c r="K78" s="7" t="s">
        <v>271</v>
      </c>
      <c r="L78" s="7" t="s">
        <v>278</v>
      </c>
      <c r="M78" s="7" t="s">
        <v>69</v>
      </c>
      <c r="N78" s="7" t="s">
        <v>808</v>
      </c>
      <c r="O78" s="7" t="s">
        <v>117</v>
      </c>
      <c r="P78" s="7" t="s">
        <v>323</v>
      </c>
      <c r="Q78" s="7" t="s">
        <v>323</v>
      </c>
      <c r="R78" s="7" t="s">
        <v>313</v>
      </c>
      <c r="S78" s="7" t="s">
        <v>323</v>
      </c>
    </row>
    <row r="79" ht="72" customHeight="1" spans="1:19" x14ac:dyDescent="0.25">
      <c r="A79" s="5" t="s">
        <v>809</v>
      </c>
      <c r="B79" s="5" t="s">
        <v>54</v>
      </c>
      <c r="C79" s="5" t="s">
        <v>810</v>
      </c>
      <c r="D79" s="5" t="s">
        <v>811</v>
      </c>
      <c r="E79" s="5" t="s">
        <v>812</v>
      </c>
      <c r="F79" s="5" t="s">
        <v>813</v>
      </c>
      <c r="G79" s="5" t="s">
        <v>814</v>
      </c>
      <c r="H79" s="5" t="s">
        <v>323</v>
      </c>
      <c r="I79" s="5" t="s">
        <v>269</v>
      </c>
      <c r="J79" s="5" t="s">
        <v>270</v>
      </c>
      <c r="K79" s="5" t="s">
        <v>282</v>
      </c>
      <c r="L79" s="5" t="s">
        <v>278</v>
      </c>
      <c r="M79" s="5" t="s">
        <v>69</v>
      </c>
      <c r="N79" s="5" t="s">
        <v>815</v>
      </c>
      <c r="O79" s="5" t="s">
        <v>117</v>
      </c>
      <c r="P79" s="5" t="s">
        <v>323</v>
      </c>
      <c r="Q79" s="5" t="s">
        <v>323</v>
      </c>
      <c r="R79" s="5" t="s">
        <v>313</v>
      </c>
      <c r="S79" s="5" t="s">
        <v>323</v>
      </c>
    </row>
    <row r="80" ht="72" customHeight="1" spans="1:19" x14ac:dyDescent="0.25">
      <c r="A80" s="7" t="s">
        <v>816</v>
      </c>
      <c r="B80" s="7" t="s">
        <v>54</v>
      </c>
      <c r="C80" s="7" t="s">
        <v>817</v>
      </c>
      <c r="D80" s="7" t="s">
        <v>818</v>
      </c>
      <c r="E80" s="7" t="s">
        <v>819</v>
      </c>
      <c r="F80" s="7" t="s">
        <v>820</v>
      </c>
      <c r="G80" s="7" t="s">
        <v>821</v>
      </c>
      <c r="H80" s="7" t="s">
        <v>323</v>
      </c>
      <c r="I80" s="7" t="s">
        <v>269</v>
      </c>
      <c r="J80" s="7" t="s">
        <v>276</v>
      </c>
      <c r="K80" s="7" t="s">
        <v>271</v>
      </c>
      <c r="L80" s="7" t="s">
        <v>287</v>
      </c>
      <c r="M80" s="7" t="s">
        <v>73</v>
      </c>
      <c r="N80" s="7" t="s">
        <v>196</v>
      </c>
      <c r="O80" s="7" t="s">
        <v>822</v>
      </c>
      <c r="P80" s="7" t="s">
        <v>323</v>
      </c>
      <c r="Q80" s="7" t="s">
        <v>323</v>
      </c>
      <c r="R80" s="7" t="s">
        <v>313</v>
      </c>
      <c r="S80" s="7" t="s">
        <v>323</v>
      </c>
    </row>
    <row r="81" ht="72" customHeight="1" spans="1:19" x14ac:dyDescent="0.25">
      <c r="A81" s="5" t="s">
        <v>823</v>
      </c>
      <c r="B81" s="5" t="s">
        <v>54</v>
      </c>
      <c r="C81" s="5" t="s">
        <v>824</v>
      </c>
      <c r="D81" s="5" t="s">
        <v>825</v>
      </c>
      <c r="E81" s="5" t="s">
        <v>826</v>
      </c>
      <c r="F81" s="5" t="s">
        <v>827</v>
      </c>
      <c r="G81" s="5" t="s">
        <v>828</v>
      </c>
      <c r="H81" s="5" t="s">
        <v>323</v>
      </c>
      <c r="I81" s="5" t="s">
        <v>269</v>
      </c>
      <c r="J81" s="5" t="s">
        <v>276</v>
      </c>
      <c r="K81" s="5" t="s">
        <v>271</v>
      </c>
      <c r="L81" s="5" t="s">
        <v>283</v>
      </c>
      <c r="M81" s="5" t="s">
        <v>71</v>
      </c>
      <c r="N81" s="5" t="s">
        <v>829</v>
      </c>
      <c r="O81" s="5" t="s">
        <v>117</v>
      </c>
      <c r="P81" s="5" t="s">
        <v>323</v>
      </c>
      <c r="Q81" s="5" t="s">
        <v>323</v>
      </c>
      <c r="R81" s="5" t="s">
        <v>313</v>
      </c>
      <c r="S81" s="5" t="s">
        <v>323</v>
      </c>
    </row>
    <row r="82" ht="72" customHeight="1" spans="1:19" x14ac:dyDescent="0.25">
      <c r="A82" s="7" t="s">
        <v>830</v>
      </c>
      <c r="B82" s="7" t="s">
        <v>54</v>
      </c>
      <c r="C82" s="7" t="s">
        <v>207</v>
      </c>
      <c r="D82" s="7" t="s">
        <v>831</v>
      </c>
      <c r="E82" s="7" t="s">
        <v>784</v>
      </c>
      <c r="F82" s="7" t="s">
        <v>747</v>
      </c>
      <c r="G82" s="7" t="s">
        <v>832</v>
      </c>
      <c r="H82" s="7" t="s">
        <v>323</v>
      </c>
      <c r="I82" s="7" t="s">
        <v>269</v>
      </c>
      <c r="J82" s="7" t="s">
        <v>276</v>
      </c>
      <c r="K82" s="7" t="s">
        <v>271</v>
      </c>
      <c r="L82" s="7" t="s">
        <v>287</v>
      </c>
      <c r="M82" s="7" t="s">
        <v>73</v>
      </c>
      <c r="N82" s="7" t="s">
        <v>196</v>
      </c>
      <c r="O82" s="7" t="s">
        <v>833</v>
      </c>
      <c r="P82" s="7" t="s">
        <v>323</v>
      </c>
      <c r="Q82" s="7" t="s">
        <v>323</v>
      </c>
      <c r="R82" s="7" t="s">
        <v>313</v>
      </c>
      <c r="S82" s="7" t="s">
        <v>323</v>
      </c>
    </row>
    <row r="83" ht="22" customHeight="1" spans="1:7" x14ac:dyDescent="0.25">
      <c r="A83" s="28" t="s">
        <v>834</v>
      </c>
      <c r="B83" s="28"/>
      <c r="C83" s="28"/>
      <c r="D83" s="28"/>
      <c r="E83" s="28"/>
      <c r="F83" s="28"/>
      <c r="G83" s="28"/>
    </row>
    <row r="84" ht="72" customHeight="1" spans="1:19" x14ac:dyDescent="0.25">
      <c r="A84" s="7" t="s">
        <v>835</v>
      </c>
      <c r="B84" s="7" t="s">
        <v>836</v>
      </c>
      <c r="C84" s="7" t="s">
        <v>837</v>
      </c>
      <c r="D84" s="7" t="s">
        <v>838</v>
      </c>
      <c r="E84" s="7" t="s">
        <v>839</v>
      </c>
      <c r="F84" s="7" t="s">
        <v>840</v>
      </c>
      <c r="G84" s="7" t="s">
        <v>841</v>
      </c>
      <c r="H84" s="7" t="s">
        <v>323</v>
      </c>
      <c r="I84" s="7" t="s">
        <v>269</v>
      </c>
      <c r="J84" s="7" t="s">
        <v>270</v>
      </c>
      <c r="K84" s="7" t="s">
        <v>271</v>
      </c>
      <c r="L84" s="7" t="s">
        <v>278</v>
      </c>
      <c r="M84" s="7" t="s">
        <v>69</v>
      </c>
      <c r="N84" s="7" t="s">
        <v>842</v>
      </c>
      <c r="O84" s="7" t="s">
        <v>843</v>
      </c>
      <c r="P84" s="7" t="s">
        <v>323</v>
      </c>
      <c r="Q84" s="7" t="s">
        <v>323</v>
      </c>
      <c r="R84" s="7" t="s">
        <v>323</v>
      </c>
      <c r="S84" s="7" t="s">
        <v>323</v>
      </c>
    </row>
    <row r="85" ht="72" customHeight="1" spans="1:19" x14ac:dyDescent="0.25">
      <c r="A85" s="5" t="s">
        <v>844</v>
      </c>
      <c r="B85" s="5" t="s">
        <v>836</v>
      </c>
      <c r="C85" s="5" t="s">
        <v>845</v>
      </c>
      <c r="D85" s="5" t="s">
        <v>846</v>
      </c>
      <c r="E85" s="5" t="s">
        <v>847</v>
      </c>
      <c r="F85" s="5" t="s">
        <v>848</v>
      </c>
      <c r="G85" s="5" t="s">
        <v>849</v>
      </c>
      <c r="H85" s="5" t="s">
        <v>323</v>
      </c>
      <c r="I85" s="5" t="s">
        <v>269</v>
      </c>
      <c r="J85" s="5" t="s">
        <v>270</v>
      </c>
      <c r="K85" s="5" t="s">
        <v>271</v>
      </c>
      <c r="L85" s="5" t="s">
        <v>278</v>
      </c>
      <c r="M85" s="5" t="s">
        <v>69</v>
      </c>
      <c r="N85" s="5" t="s">
        <v>850</v>
      </c>
      <c r="O85" s="5" t="s">
        <v>843</v>
      </c>
      <c r="P85" s="5" t="s">
        <v>323</v>
      </c>
      <c r="Q85" s="5" t="s">
        <v>323</v>
      </c>
      <c r="R85" s="5" t="s">
        <v>323</v>
      </c>
      <c r="S85" s="5" t="s">
        <v>323</v>
      </c>
    </row>
    <row r="86" ht="72" customHeight="1" spans="1:19" x14ac:dyDescent="0.25">
      <c r="A86" s="7" t="s">
        <v>851</v>
      </c>
      <c r="B86" s="7" t="s">
        <v>836</v>
      </c>
      <c r="C86" s="7" t="s">
        <v>852</v>
      </c>
      <c r="D86" s="7" t="s">
        <v>853</v>
      </c>
      <c r="E86" s="7" t="s">
        <v>854</v>
      </c>
      <c r="F86" s="7" t="s">
        <v>855</v>
      </c>
      <c r="G86" s="7" t="s">
        <v>856</v>
      </c>
      <c r="H86" s="7" t="s">
        <v>323</v>
      </c>
      <c r="I86" s="7" t="s">
        <v>269</v>
      </c>
      <c r="J86" s="7" t="s">
        <v>276</v>
      </c>
      <c r="K86" s="7" t="s">
        <v>191</v>
      </c>
      <c r="L86" s="7" t="s">
        <v>278</v>
      </c>
      <c r="M86" s="7" t="s">
        <v>69</v>
      </c>
      <c r="N86" s="7" t="s">
        <v>857</v>
      </c>
      <c r="O86" s="7" t="s">
        <v>858</v>
      </c>
      <c r="P86" s="7" t="s">
        <v>323</v>
      </c>
      <c r="Q86" s="7" t="s">
        <v>323</v>
      </c>
      <c r="R86" s="7" t="s">
        <v>323</v>
      </c>
      <c r="S86" s="7" t="s">
        <v>323</v>
      </c>
    </row>
    <row r="87" ht="72" customHeight="1" spans="1:19" x14ac:dyDescent="0.25">
      <c r="A87" s="5" t="s">
        <v>859</v>
      </c>
      <c r="B87" s="5" t="s">
        <v>836</v>
      </c>
      <c r="C87" s="5" t="s">
        <v>860</v>
      </c>
      <c r="D87" s="5" t="s">
        <v>861</v>
      </c>
      <c r="E87" s="5" t="s">
        <v>862</v>
      </c>
      <c r="F87" s="5" t="s">
        <v>863</v>
      </c>
      <c r="G87" s="5" t="s">
        <v>864</v>
      </c>
      <c r="H87" s="5" t="s">
        <v>323</v>
      </c>
      <c r="I87" s="5" t="s">
        <v>269</v>
      </c>
      <c r="J87" s="5" t="s">
        <v>276</v>
      </c>
      <c r="K87" s="5" t="s">
        <v>271</v>
      </c>
      <c r="L87" s="5" t="s">
        <v>278</v>
      </c>
      <c r="M87" s="5" t="s">
        <v>69</v>
      </c>
      <c r="N87" s="5" t="s">
        <v>865</v>
      </c>
      <c r="O87" s="5" t="s">
        <v>866</v>
      </c>
      <c r="P87" s="5" t="s">
        <v>323</v>
      </c>
      <c r="Q87" s="5" t="s">
        <v>323</v>
      </c>
      <c r="R87" s="5" t="s">
        <v>323</v>
      </c>
      <c r="S87" s="5" t="s">
        <v>323</v>
      </c>
    </row>
    <row r="88" ht="72" customHeight="1" spans="1:19" x14ac:dyDescent="0.25">
      <c r="A88" s="7" t="s">
        <v>867</v>
      </c>
      <c r="B88" s="7" t="s">
        <v>836</v>
      </c>
      <c r="C88" s="7" t="s">
        <v>868</v>
      </c>
      <c r="D88" s="7" t="s">
        <v>869</v>
      </c>
      <c r="E88" s="7" t="s">
        <v>870</v>
      </c>
      <c r="F88" s="7" t="s">
        <v>871</v>
      </c>
      <c r="G88" s="7" t="s">
        <v>872</v>
      </c>
      <c r="H88" s="7" t="s">
        <v>323</v>
      </c>
      <c r="I88" s="7" t="s">
        <v>269</v>
      </c>
      <c r="J88" s="7" t="s">
        <v>276</v>
      </c>
      <c r="K88" s="7" t="s">
        <v>271</v>
      </c>
      <c r="L88" s="7" t="s">
        <v>287</v>
      </c>
      <c r="M88" s="7" t="s">
        <v>73</v>
      </c>
      <c r="N88" s="7" t="s">
        <v>196</v>
      </c>
      <c r="O88" s="7" t="s">
        <v>873</v>
      </c>
      <c r="P88" s="7" t="s">
        <v>323</v>
      </c>
      <c r="Q88" s="7" t="s">
        <v>323</v>
      </c>
      <c r="R88" s="7" t="s">
        <v>323</v>
      </c>
      <c r="S88" s="7" t="s">
        <v>323</v>
      </c>
    </row>
    <row r="89" ht="72" customHeight="1" spans="1:19" x14ac:dyDescent="0.25">
      <c r="A89" s="5" t="s">
        <v>874</v>
      </c>
      <c r="B89" s="5" t="s">
        <v>836</v>
      </c>
      <c r="C89" s="5" t="s">
        <v>875</v>
      </c>
      <c r="D89" s="5" t="s">
        <v>876</v>
      </c>
      <c r="E89" s="5" t="s">
        <v>877</v>
      </c>
      <c r="F89" s="5" t="s">
        <v>878</v>
      </c>
      <c r="G89" s="5" t="s">
        <v>879</v>
      </c>
      <c r="H89" s="5" t="s">
        <v>323</v>
      </c>
      <c r="I89" s="5" t="s">
        <v>269</v>
      </c>
      <c r="J89" s="5" t="s">
        <v>276</v>
      </c>
      <c r="K89" s="5" t="s">
        <v>271</v>
      </c>
      <c r="L89" s="5" t="s">
        <v>287</v>
      </c>
      <c r="M89" s="5" t="s">
        <v>73</v>
      </c>
      <c r="N89" s="5" t="s">
        <v>196</v>
      </c>
      <c r="O89" s="5" t="s">
        <v>880</v>
      </c>
      <c r="P89" s="5" t="s">
        <v>323</v>
      </c>
      <c r="Q89" s="5" t="s">
        <v>323</v>
      </c>
      <c r="R89" s="5" t="s">
        <v>323</v>
      </c>
      <c r="S89" s="5" t="s">
        <v>323</v>
      </c>
    </row>
    <row r="90" ht="72" customHeight="1" spans="1:19" x14ac:dyDescent="0.25">
      <c r="A90" s="7" t="s">
        <v>881</v>
      </c>
      <c r="B90" s="7" t="s">
        <v>836</v>
      </c>
      <c r="C90" s="7" t="s">
        <v>882</v>
      </c>
      <c r="D90" s="7" t="s">
        <v>883</v>
      </c>
      <c r="E90" s="7" t="s">
        <v>884</v>
      </c>
      <c r="F90" s="7" t="s">
        <v>885</v>
      </c>
      <c r="G90" s="7" t="s">
        <v>886</v>
      </c>
      <c r="H90" s="7" t="s">
        <v>323</v>
      </c>
      <c r="I90" s="7" t="s">
        <v>269</v>
      </c>
      <c r="J90" s="7" t="s">
        <v>281</v>
      </c>
      <c r="K90" s="7" t="s">
        <v>271</v>
      </c>
      <c r="L90" s="7" t="s">
        <v>287</v>
      </c>
      <c r="M90" s="7" t="s">
        <v>73</v>
      </c>
      <c r="N90" s="7" t="s">
        <v>196</v>
      </c>
      <c r="O90" s="7" t="s">
        <v>887</v>
      </c>
      <c r="P90" s="7" t="s">
        <v>323</v>
      </c>
      <c r="Q90" s="7" t="s">
        <v>323</v>
      </c>
      <c r="R90" s="7" t="s">
        <v>323</v>
      </c>
      <c r="S90" s="7" t="s">
        <v>323</v>
      </c>
    </row>
    <row r="91" ht="22" customHeight="1" spans="1:7" x14ac:dyDescent="0.25">
      <c r="A91" s="28" t="s">
        <v>888</v>
      </c>
      <c r="B91" s="28"/>
      <c r="C91" s="28"/>
      <c r="D91" s="28"/>
      <c r="E91" s="28"/>
      <c r="F91" s="28"/>
      <c r="G91" s="28"/>
    </row>
    <row r="92" ht="72" customHeight="1" spans="1:19" x14ac:dyDescent="0.25">
      <c r="A92" s="7" t="s">
        <v>889</v>
      </c>
      <c r="B92" s="7" t="s">
        <v>890</v>
      </c>
      <c r="C92" s="7" t="s">
        <v>891</v>
      </c>
      <c r="D92" s="7" t="s">
        <v>892</v>
      </c>
      <c r="E92" s="7" t="s">
        <v>893</v>
      </c>
      <c r="F92" s="7" t="s">
        <v>894</v>
      </c>
      <c r="G92" s="7" t="s">
        <v>895</v>
      </c>
      <c r="H92" s="7" t="s">
        <v>896</v>
      </c>
      <c r="I92" s="7" t="s">
        <v>280</v>
      </c>
      <c r="J92" s="7" t="s">
        <v>270</v>
      </c>
      <c r="K92" s="7" t="s">
        <v>277</v>
      </c>
      <c r="L92" s="7" t="s">
        <v>272</v>
      </c>
      <c r="M92" s="7" t="s">
        <v>67</v>
      </c>
      <c r="N92" s="7" t="s">
        <v>897</v>
      </c>
      <c r="O92" s="7" t="s">
        <v>183</v>
      </c>
      <c r="P92" s="7" t="s">
        <v>321</v>
      </c>
      <c r="Q92" s="29">
        <v>46271.77083333333</v>
      </c>
      <c r="R92" s="7" t="s">
        <v>338</v>
      </c>
      <c r="S92" s="7" t="s">
        <v>323</v>
      </c>
    </row>
    <row r="93" ht="72" customHeight="1" spans="1:19" x14ac:dyDescent="0.25">
      <c r="A93" s="5" t="s">
        <v>898</v>
      </c>
      <c r="B93" s="5" t="s">
        <v>899</v>
      </c>
      <c r="C93" s="5" t="s">
        <v>900</v>
      </c>
      <c r="D93" s="5" t="s">
        <v>901</v>
      </c>
      <c r="E93" s="5" t="s">
        <v>902</v>
      </c>
      <c r="F93" s="5" t="s">
        <v>903</v>
      </c>
      <c r="G93" s="5" t="s">
        <v>904</v>
      </c>
      <c r="H93" s="5" t="s">
        <v>905</v>
      </c>
      <c r="I93" s="5" t="s">
        <v>280</v>
      </c>
      <c r="J93" s="5" t="s">
        <v>270</v>
      </c>
      <c r="K93" s="5" t="s">
        <v>277</v>
      </c>
      <c r="L93" s="5" t="s">
        <v>272</v>
      </c>
      <c r="M93" s="5" t="s">
        <v>67</v>
      </c>
      <c r="N93" s="5" t="s">
        <v>96</v>
      </c>
      <c r="O93" s="5" t="s">
        <v>98</v>
      </c>
      <c r="P93" s="5" t="s">
        <v>321</v>
      </c>
      <c r="Q93" s="30">
        <v>46271.77083333333</v>
      </c>
      <c r="R93" s="5" t="s">
        <v>324</v>
      </c>
      <c r="S93" s="5" t="s">
        <v>323</v>
      </c>
    </row>
    <row r="94" ht="72" customHeight="1" spans="1:19" x14ac:dyDescent="0.25">
      <c r="A94" s="7" t="s">
        <v>906</v>
      </c>
      <c r="B94" s="7" t="s">
        <v>907</v>
      </c>
      <c r="C94" s="7" t="s">
        <v>908</v>
      </c>
      <c r="D94" s="7" t="s">
        <v>909</v>
      </c>
      <c r="E94" s="7" t="s">
        <v>910</v>
      </c>
      <c r="F94" s="7" t="s">
        <v>911</v>
      </c>
      <c r="G94" s="7" t="s">
        <v>912</v>
      </c>
      <c r="H94" s="7" t="s">
        <v>323</v>
      </c>
      <c r="I94" s="7" t="s">
        <v>269</v>
      </c>
      <c r="J94" s="7" t="s">
        <v>270</v>
      </c>
      <c r="K94" s="7" t="s">
        <v>271</v>
      </c>
      <c r="L94" s="7" t="s">
        <v>272</v>
      </c>
      <c r="M94" s="7" t="s">
        <v>67</v>
      </c>
      <c r="N94" s="7" t="s">
        <v>106</v>
      </c>
      <c r="O94" s="7" t="s">
        <v>108</v>
      </c>
      <c r="P94" s="7" t="s">
        <v>323</v>
      </c>
      <c r="Q94" s="7" t="s">
        <v>323</v>
      </c>
      <c r="R94" s="7" t="s">
        <v>313</v>
      </c>
      <c r="S94" s="7" t="s">
        <v>323</v>
      </c>
    </row>
    <row r="95" ht="72" customHeight="1" spans="1:19" x14ac:dyDescent="0.25">
      <c r="A95" s="5" t="s">
        <v>913</v>
      </c>
      <c r="B95" s="5" t="s">
        <v>914</v>
      </c>
      <c r="C95" s="5" t="s">
        <v>908</v>
      </c>
      <c r="D95" s="5" t="s">
        <v>915</v>
      </c>
      <c r="E95" s="5" t="s">
        <v>910</v>
      </c>
      <c r="F95" s="5" t="s">
        <v>916</v>
      </c>
      <c r="G95" s="5" t="s">
        <v>917</v>
      </c>
      <c r="H95" s="5" t="s">
        <v>323</v>
      </c>
      <c r="I95" s="5" t="s">
        <v>269</v>
      </c>
      <c r="J95" s="5" t="s">
        <v>270</v>
      </c>
      <c r="K95" s="5" t="s">
        <v>271</v>
      </c>
      <c r="L95" s="5" t="s">
        <v>272</v>
      </c>
      <c r="M95" s="5" t="s">
        <v>67</v>
      </c>
      <c r="N95" s="5" t="s">
        <v>110</v>
      </c>
      <c r="O95" s="5" t="s">
        <v>112</v>
      </c>
      <c r="P95" s="5" t="s">
        <v>323</v>
      </c>
      <c r="Q95" s="5" t="s">
        <v>323</v>
      </c>
      <c r="R95" s="5" t="s">
        <v>313</v>
      </c>
      <c r="S95" s="5" t="s">
        <v>323</v>
      </c>
    </row>
    <row r="96" ht="72" customHeight="1" spans="1:19" x14ac:dyDescent="0.25">
      <c r="A96" s="7" t="s">
        <v>918</v>
      </c>
      <c r="B96" s="7" t="s">
        <v>919</v>
      </c>
      <c r="C96" s="7" t="s">
        <v>920</v>
      </c>
      <c r="D96" s="7" t="s">
        <v>921</v>
      </c>
      <c r="E96" s="7" t="s">
        <v>922</v>
      </c>
      <c r="F96" s="7" t="s">
        <v>916</v>
      </c>
      <c r="G96" s="7" t="s">
        <v>923</v>
      </c>
      <c r="H96" s="7" t="s">
        <v>323</v>
      </c>
      <c r="I96" s="7" t="s">
        <v>269</v>
      </c>
      <c r="J96" s="7" t="s">
        <v>270</v>
      </c>
      <c r="K96" s="7" t="s">
        <v>271</v>
      </c>
      <c r="L96" s="7" t="s">
        <v>278</v>
      </c>
      <c r="M96" s="7" t="s">
        <v>69</v>
      </c>
      <c r="N96" s="7" t="s">
        <v>924</v>
      </c>
      <c r="O96" s="7" t="s">
        <v>117</v>
      </c>
      <c r="P96" s="7" t="s">
        <v>323</v>
      </c>
      <c r="Q96" s="7" t="s">
        <v>323</v>
      </c>
      <c r="R96" s="7" t="s">
        <v>313</v>
      </c>
      <c r="S96" s="7" t="s">
        <v>323</v>
      </c>
    </row>
    <row r="97" ht="72" customHeight="1" spans="1:19" x14ac:dyDescent="0.25">
      <c r="A97" s="5" t="s">
        <v>925</v>
      </c>
      <c r="B97" s="5" t="s">
        <v>926</v>
      </c>
      <c r="C97" s="5" t="s">
        <v>927</v>
      </c>
      <c r="D97" s="5" t="s">
        <v>928</v>
      </c>
      <c r="E97" s="5" t="s">
        <v>929</v>
      </c>
      <c r="F97" s="5" t="s">
        <v>930</v>
      </c>
      <c r="G97" s="5" t="s">
        <v>931</v>
      </c>
      <c r="H97" s="5" t="s">
        <v>323</v>
      </c>
      <c r="I97" s="5" t="s">
        <v>269</v>
      </c>
      <c r="J97" s="5" t="s">
        <v>270</v>
      </c>
      <c r="K97" s="5" t="s">
        <v>271</v>
      </c>
      <c r="L97" s="5" t="s">
        <v>278</v>
      </c>
      <c r="M97" s="5" t="s">
        <v>69</v>
      </c>
      <c r="N97" s="5" t="s">
        <v>932</v>
      </c>
      <c r="O97" s="5" t="s">
        <v>843</v>
      </c>
      <c r="P97" s="5" t="s">
        <v>323</v>
      </c>
      <c r="Q97" s="5" t="s">
        <v>323</v>
      </c>
      <c r="R97" s="5" t="s">
        <v>338</v>
      </c>
      <c r="S97" s="5" t="s">
        <v>323</v>
      </c>
    </row>
    <row r="98" ht="72" customHeight="1" spans="1:19" x14ac:dyDescent="0.25">
      <c r="A98" s="7" t="s">
        <v>933</v>
      </c>
      <c r="B98" s="7" t="s">
        <v>934</v>
      </c>
      <c r="C98" s="7" t="s">
        <v>935</v>
      </c>
      <c r="D98" s="7" t="s">
        <v>936</v>
      </c>
      <c r="E98" s="7" t="s">
        <v>937</v>
      </c>
      <c r="F98" s="7" t="s">
        <v>938</v>
      </c>
      <c r="G98" s="7" t="s">
        <v>939</v>
      </c>
      <c r="H98" s="7" t="s">
        <v>323</v>
      </c>
      <c r="I98" s="7" t="s">
        <v>269</v>
      </c>
      <c r="J98" s="7" t="s">
        <v>276</v>
      </c>
      <c r="K98" s="7" t="s">
        <v>271</v>
      </c>
      <c r="L98" s="7" t="s">
        <v>278</v>
      </c>
      <c r="M98" s="7" t="s">
        <v>69</v>
      </c>
      <c r="N98" s="7" t="s">
        <v>940</v>
      </c>
      <c r="O98" s="7" t="s">
        <v>941</v>
      </c>
      <c r="P98" s="7" t="s">
        <v>323</v>
      </c>
      <c r="Q98" s="7" t="s">
        <v>323</v>
      </c>
      <c r="R98" s="7" t="s">
        <v>338</v>
      </c>
      <c r="S98" s="7" t="s">
        <v>323</v>
      </c>
    </row>
    <row r="99" ht="22" customHeight="1" spans="1:7" x14ac:dyDescent="0.25">
      <c r="A99" s="28" t="s">
        <v>942</v>
      </c>
      <c r="B99" s="28"/>
      <c r="C99" s="28"/>
      <c r="D99" s="28"/>
      <c r="E99" s="28"/>
      <c r="F99" s="28"/>
      <c r="G99" s="28"/>
    </row>
    <row r="100" ht="72" customHeight="1" spans="1:19" x14ac:dyDescent="0.25">
      <c r="A100" s="7" t="s">
        <v>943</v>
      </c>
      <c r="B100" s="7" t="s">
        <v>944</v>
      </c>
      <c r="C100" s="7" t="s">
        <v>945</v>
      </c>
      <c r="D100" s="7" t="s">
        <v>946</v>
      </c>
      <c r="E100" s="7" t="s">
        <v>947</v>
      </c>
      <c r="F100" s="7" t="s">
        <v>948</v>
      </c>
      <c r="G100" s="7" t="s">
        <v>949</v>
      </c>
      <c r="H100" s="7" t="s">
        <v>323</v>
      </c>
      <c r="I100" s="7" t="s">
        <v>269</v>
      </c>
      <c r="J100" s="7" t="s">
        <v>281</v>
      </c>
      <c r="K100" s="7" t="s">
        <v>282</v>
      </c>
      <c r="L100" s="7" t="s">
        <v>287</v>
      </c>
      <c r="M100" s="7" t="s">
        <v>73</v>
      </c>
      <c r="N100" s="7" t="s">
        <v>196</v>
      </c>
      <c r="O100" s="7" t="s">
        <v>945</v>
      </c>
      <c r="P100" s="7" t="s">
        <v>323</v>
      </c>
      <c r="Q100" s="7" t="s">
        <v>323</v>
      </c>
      <c r="R100" s="7" t="s">
        <v>323</v>
      </c>
      <c r="S100" s="7" t="s">
        <v>323</v>
      </c>
    </row>
    <row r="101" ht="72" customHeight="1" spans="1:19" x14ac:dyDescent="0.25">
      <c r="A101" s="5" t="s">
        <v>950</v>
      </c>
      <c r="B101" s="5" t="s">
        <v>944</v>
      </c>
      <c r="C101" s="5" t="s">
        <v>951</v>
      </c>
      <c r="D101" s="5" t="s">
        <v>952</v>
      </c>
      <c r="E101" s="5" t="s">
        <v>953</v>
      </c>
      <c r="F101" s="5" t="s">
        <v>954</v>
      </c>
      <c r="G101" s="5" t="s">
        <v>955</v>
      </c>
      <c r="H101" s="5" t="s">
        <v>323</v>
      </c>
      <c r="I101" s="5" t="s">
        <v>269</v>
      </c>
      <c r="J101" s="5" t="s">
        <v>276</v>
      </c>
      <c r="K101" s="5" t="s">
        <v>277</v>
      </c>
      <c r="L101" s="5" t="s">
        <v>287</v>
      </c>
      <c r="M101" s="5" t="s">
        <v>73</v>
      </c>
      <c r="N101" s="5" t="s">
        <v>196</v>
      </c>
      <c r="O101" s="5" t="s">
        <v>951</v>
      </c>
      <c r="P101" s="5" t="s">
        <v>323</v>
      </c>
      <c r="Q101" s="5" t="s">
        <v>323</v>
      </c>
      <c r="R101" s="5" t="s">
        <v>313</v>
      </c>
      <c r="S101" s="5" t="s">
        <v>323</v>
      </c>
    </row>
    <row r="102" ht="72" customHeight="1" spans="1:19" x14ac:dyDescent="0.25">
      <c r="A102" s="7" t="s">
        <v>956</v>
      </c>
      <c r="B102" s="7" t="s">
        <v>957</v>
      </c>
      <c r="C102" s="7" t="s">
        <v>958</v>
      </c>
      <c r="D102" s="7" t="s">
        <v>959</v>
      </c>
      <c r="E102" s="7" t="s">
        <v>960</v>
      </c>
      <c r="F102" s="7" t="s">
        <v>961</v>
      </c>
      <c r="G102" s="7" t="s">
        <v>962</v>
      </c>
      <c r="H102" s="7" t="s">
        <v>323</v>
      </c>
      <c r="I102" s="7" t="s">
        <v>269</v>
      </c>
      <c r="J102" s="7" t="s">
        <v>270</v>
      </c>
      <c r="K102" s="7" t="s">
        <v>277</v>
      </c>
      <c r="L102" s="7" t="s">
        <v>278</v>
      </c>
      <c r="M102" s="7" t="s">
        <v>69</v>
      </c>
      <c r="N102" s="7" t="s">
        <v>963</v>
      </c>
      <c r="O102" s="7" t="s">
        <v>964</v>
      </c>
      <c r="P102" s="7" t="s">
        <v>323</v>
      </c>
      <c r="Q102" s="7" t="s">
        <v>323</v>
      </c>
      <c r="R102" s="7" t="s">
        <v>324</v>
      </c>
      <c r="S102" s="7" t="s">
        <v>323</v>
      </c>
    </row>
    <row r="103" ht="72" customHeight="1" spans="1:19" x14ac:dyDescent="0.25">
      <c r="A103" s="5" t="s">
        <v>965</v>
      </c>
      <c r="B103" s="5" t="s">
        <v>966</v>
      </c>
      <c r="C103" s="5" t="s">
        <v>967</v>
      </c>
      <c r="D103" s="5" t="s">
        <v>968</v>
      </c>
      <c r="E103" s="5" t="s">
        <v>969</v>
      </c>
      <c r="F103" s="5" t="s">
        <v>970</v>
      </c>
      <c r="G103" s="5" t="s">
        <v>971</v>
      </c>
      <c r="H103" s="5" t="s">
        <v>323</v>
      </c>
      <c r="I103" s="5" t="s">
        <v>269</v>
      </c>
      <c r="J103" s="5" t="s">
        <v>276</v>
      </c>
      <c r="K103" s="5" t="s">
        <v>282</v>
      </c>
      <c r="L103" s="5" t="s">
        <v>287</v>
      </c>
      <c r="M103" s="5" t="s">
        <v>73</v>
      </c>
      <c r="N103" s="5" t="s">
        <v>196</v>
      </c>
      <c r="O103" s="5" t="s">
        <v>972</v>
      </c>
      <c r="P103" s="5" t="s">
        <v>323</v>
      </c>
      <c r="Q103" s="5" t="s">
        <v>323</v>
      </c>
      <c r="R103" s="5" t="s">
        <v>323</v>
      </c>
      <c r="S103" s="5" t="s">
        <v>323</v>
      </c>
    </row>
    <row r="104" ht="72" customHeight="1" spans="1:19" x14ac:dyDescent="0.25">
      <c r="A104" s="7" t="s">
        <v>973</v>
      </c>
      <c r="B104" s="7" t="s">
        <v>974</v>
      </c>
      <c r="C104" s="7" t="s">
        <v>975</v>
      </c>
      <c r="D104" s="7" t="s">
        <v>976</v>
      </c>
      <c r="E104" s="7" t="s">
        <v>977</v>
      </c>
      <c r="F104" s="7" t="s">
        <v>978</v>
      </c>
      <c r="G104" s="7" t="s">
        <v>979</v>
      </c>
      <c r="H104" s="7" t="s">
        <v>323</v>
      </c>
      <c r="I104" s="7" t="s">
        <v>269</v>
      </c>
      <c r="J104" s="7" t="s">
        <v>281</v>
      </c>
      <c r="K104" s="7" t="s">
        <v>282</v>
      </c>
      <c r="L104" s="7" t="s">
        <v>287</v>
      </c>
      <c r="M104" s="7" t="s">
        <v>73</v>
      </c>
      <c r="N104" s="7" t="s">
        <v>196</v>
      </c>
      <c r="O104" s="7" t="s">
        <v>978</v>
      </c>
      <c r="P104" s="7" t="s">
        <v>323</v>
      </c>
      <c r="Q104" s="7" t="s">
        <v>323</v>
      </c>
      <c r="R104" s="7" t="s">
        <v>323</v>
      </c>
      <c r="S104" s="7" t="s">
        <v>323</v>
      </c>
    </row>
    <row r="105" ht="72" customHeight="1" spans="1:19" x14ac:dyDescent="0.25">
      <c r="A105" s="5" t="s">
        <v>980</v>
      </c>
      <c r="B105" s="5" t="s">
        <v>944</v>
      </c>
      <c r="C105" s="5" t="s">
        <v>981</v>
      </c>
      <c r="D105" s="5" t="s">
        <v>982</v>
      </c>
      <c r="E105" s="5" t="s">
        <v>983</v>
      </c>
      <c r="F105" s="5" t="s">
        <v>984</v>
      </c>
      <c r="G105" s="5" t="s">
        <v>985</v>
      </c>
      <c r="H105" s="5" t="s">
        <v>323</v>
      </c>
      <c r="I105" s="5" t="s">
        <v>269</v>
      </c>
      <c r="J105" s="5" t="s">
        <v>270</v>
      </c>
      <c r="K105" s="5" t="s">
        <v>271</v>
      </c>
      <c r="L105" s="5" t="s">
        <v>287</v>
      </c>
      <c r="M105" s="5" t="s">
        <v>73</v>
      </c>
      <c r="N105" s="5" t="s">
        <v>196</v>
      </c>
      <c r="O105" s="5" t="s">
        <v>986</v>
      </c>
      <c r="P105" s="5" t="s">
        <v>323</v>
      </c>
      <c r="Q105" s="5" t="s">
        <v>323</v>
      </c>
      <c r="R105" s="5" t="s">
        <v>323</v>
      </c>
      <c r="S105" s="5" t="s">
        <v>323</v>
      </c>
    </row>
    <row r="106" ht="72" customHeight="1" spans="1:19" x14ac:dyDescent="0.25">
      <c r="A106" s="7" t="s">
        <v>987</v>
      </c>
      <c r="B106" s="7" t="s">
        <v>944</v>
      </c>
      <c r="C106" s="7" t="s">
        <v>988</v>
      </c>
      <c r="D106" s="7" t="s">
        <v>989</v>
      </c>
      <c r="E106" s="7" t="s">
        <v>990</v>
      </c>
      <c r="F106" s="7" t="s">
        <v>991</v>
      </c>
      <c r="G106" s="7" t="s">
        <v>992</v>
      </c>
      <c r="H106" s="7" t="s">
        <v>323</v>
      </c>
      <c r="I106" s="7" t="s">
        <v>269</v>
      </c>
      <c r="J106" s="7" t="s">
        <v>276</v>
      </c>
      <c r="K106" s="7" t="s">
        <v>191</v>
      </c>
      <c r="L106" s="7" t="s">
        <v>287</v>
      </c>
      <c r="M106" s="7" t="s">
        <v>73</v>
      </c>
      <c r="N106" s="7" t="s">
        <v>196</v>
      </c>
      <c r="O106" s="7" t="s">
        <v>993</v>
      </c>
      <c r="P106" s="7" t="s">
        <v>323</v>
      </c>
      <c r="Q106" s="7" t="s">
        <v>323</v>
      </c>
      <c r="R106" s="7" t="s">
        <v>323</v>
      </c>
      <c r="S106" s="7" t="s">
        <v>323</v>
      </c>
    </row>
  </sheetData>
  <autoFilter ref="A7:S106"/>
  <mergeCells count="16">
    <mergeCell ref="A1:S1"/>
    <mergeCell ref="A2:S2"/>
    <mergeCell ref="A3:S3"/>
    <mergeCell ref="A5:S5"/>
    <mergeCell ref="A8:G8"/>
    <mergeCell ref="A15:G15"/>
    <mergeCell ref="A22:G22"/>
    <mergeCell ref="A33:G33"/>
    <mergeCell ref="A41:G41"/>
    <mergeCell ref="A47:G47"/>
    <mergeCell ref="A55:G55"/>
    <mergeCell ref="A65:G65"/>
    <mergeCell ref="A75:G75"/>
    <mergeCell ref="A83:G83"/>
    <mergeCell ref="A91:G91"/>
    <mergeCell ref="A99:G99"/>
  </mergeCells>
  <conditionalFormatting sqref="I8:I106">
    <cfRule type="containsText" dxfId="10" priority="1">
      <formula>NOT(ISERROR(SEARCH("Pass",I8)))</formula>
    </cfRule>
    <cfRule type="containsText" dxfId="11" priority="2">
      <formula>NOT(ISERROR(SEARCH("Fail",I8)))</formula>
    </cfRule>
    <cfRule type="containsText" dxfId="12" priority="3">
      <formula>NOT(ISERROR(SEARCH("Blocked",I8)))</formula>
    </cfRule>
    <cfRule type="containsText" dxfId="13" priority="4">
      <formula>NOT(ISERROR(SEARCH("Not Executed",I8)))</formula>
    </cfRule>
  </conditionalFormatting>
  <conditionalFormatting sqref="J8:J106">
    <cfRule type="containsText" dxfId="14" priority="5">
      <formula>NOT(ISERROR(SEARCH("Critical",J8)))</formula>
    </cfRule>
  </conditionalFormatting>
  <conditionalFormatting sqref="M8:M106">
    <cfRule type="containsText" dxfId="15" priority="6">
      <formula>NOT(ISERROR(SEARCH("Automated (API)",M8)))</formula>
    </cfRule>
    <cfRule type="containsText" dxfId="16" priority="7">
      <formula>NOT(ISERROR(SEARCH("Partial",M8)))</formula>
    </cfRule>
    <cfRule type="containsText" dxfId="17" priority="8">
      <formula>NOT(ISERROR(SEARCH("Gap (API)",M8)))</formula>
    </cfRule>
    <cfRule type="containsText" dxfId="18" priority="9">
      <formula>NOT(ISERROR(SEARCH("Gap (UI)",M8)))</formula>
    </cfRule>
  </conditionalFormatting>
  <conditionalFormatting sqref="R8:R106">
    <cfRule type="expression" dxfId="19" priority="10">
      <formula>AND($I8="Fail",$R8="")</formula>
    </cfRule>
  </conditionalFormatting>
  <dataValidations count="6">
    <dataValidation type="list" allowBlank="1" showErrorMessage="1" error="Pick a status from the list" sqref="I8:I106">
      <formula1>LISTS!$A$2:$A$6</formula1>
    </dataValidation>
    <dataValidation type="list" allowBlank="1" sqref="J8:J106">
      <formula1>LISTS!$B$2:$B$5</formula1>
    </dataValidation>
    <dataValidation type="list" allowBlank="1" sqref="K8:K106">
      <formula1>LISTS!$C$2:$C$5</formula1>
    </dataValidation>
    <dataValidation type="list" allowBlank="1" sqref="L8:L106">
      <formula1>LISTS!$E$2:$E$5</formula1>
    </dataValidation>
    <dataValidation type="list" allowBlank="1" sqref="M8:M106">
      <formula1>LISTS!$D$2:$D$5</formula1>
    </dataValidation>
    <dataValidation type="list" allowBlank="1" showErrorMessage="1" error="Pick a Defect ID from the DEFECTS sheet" sqref="R8:R106">
      <formula1>DEFECTS!$A$8:$A$37</formula1>
    </dataValidation>
  </dataValidations>
  <pageMargins left="0.7" right="0.7" top="0.75" bottom="0.75" header="0.3" footer="0.3"/>
  <pageSetup orientation="landscape"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workbookViewId="0" showGridLines="0"/>
  </sheetViews>
  <sheetFormatPr defaultRowHeight="15" outlineLevelRow="0" outlineLevelCol="0" x14ac:dyDescent="55"/>
  <cols>
    <col min="1" max="1" width="32" customWidth="1"/>
    <col min="2" max="2" width="22" customWidth="1"/>
    <col min="3" max="3" width="56" customWidth="1"/>
    <col min="4" max="4" width="48" customWidth="1"/>
  </cols>
  <sheetData>
    <row r="1" ht="28" customHeight="1" spans="1:6" x14ac:dyDescent="0.25">
      <c r="A1" s="3" t="s">
        <v>994</v>
      </c>
      <c r="B1" s="3"/>
      <c r="C1" s="3"/>
      <c r="D1" s="3"/>
      <c r="E1" s="3"/>
      <c r="F1" s="3"/>
    </row>
    <row r="3" spans="1:4" x14ac:dyDescent="0.25">
      <c r="A3" s="6" t="s">
        <v>995</v>
      </c>
      <c r="B3" s="6"/>
      <c r="C3" s="6"/>
      <c r="D3" s="6"/>
    </row>
    <row r="4" spans="1:4" x14ac:dyDescent="0.25">
      <c r="A4" s="3" t="s">
        <v>64</v>
      </c>
      <c r="B4" s="3" t="s">
        <v>65</v>
      </c>
      <c r="C4" s="3" t="s">
        <v>996</v>
      </c>
      <c r="D4" s="3" t="s">
        <v>997</v>
      </c>
    </row>
    <row r="5" spans="1:4" x14ac:dyDescent="0.25">
      <c r="A5" s="5" t="s">
        <v>36</v>
      </c>
      <c r="B5" s="31">
        <v>1201</v>
      </c>
      <c r="C5" s="5" t="s">
        <v>998</v>
      </c>
      <c r="D5" s="5" t="s">
        <v>999</v>
      </c>
    </row>
    <row r="6" spans="1:4" x14ac:dyDescent="0.25">
      <c r="A6" s="5" t="s">
        <v>39</v>
      </c>
      <c r="B6" s="31">
        <v>1066</v>
      </c>
      <c r="C6" s="5" t="s">
        <v>998</v>
      </c>
      <c r="D6" s="5" t="s">
        <v>1000</v>
      </c>
    </row>
    <row r="7" spans="1:4" x14ac:dyDescent="0.25">
      <c r="A7" s="13" t="s">
        <v>41</v>
      </c>
      <c r="B7" s="32">
        <v>0</v>
      </c>
      <c r="C7" s="13" t="s">
        <v>998</v>
      </c>
      <c r="D7" s="13" t="s">
        <v>1001</v>
      </c>
    </row>
    <row r="8" spans="1:4" x14ac:dyDescent="0.25">
      <c r="A8" s="13" t="s">
        <v>43</v>
      </c>
      <c r="B8" s="32">
        <v>0</v>
      </c>
      <c r="C8" s="13" t="s">
        <v>998</v>
      </c>
      <c r="D8" s="13" t="s">
        <v>1002</v>
      </c>
    </row>
    <row r="10" spans="1:4" x14ac:dyDescent="0.25">
      <c r="A10" s="33" t="s">
        <v>1003</v>
      </c>
      <c r="B10" s="34">
        <f>B6+B7</f>
      </c>
      <c r="C10" s="33" t="s">
        <v>1004</v>
      </c>
      <c r="D10" s="33">
        <f>IF(B10=B5,"PASS","FAIL — gap "&amp;(B5-B10)&amp;" (DEF-DTO-004)")</f>
      </c>
    </row>
    <row r="12" spans="1:4" x14ac:dyDescent="0.25">
      <c r="A12" s="6" t="s">
        <v>48</v>
      </c>
      <c r="B12" s="6"/>
      <c r="C12" s="6"/>
      <c r="D12" s="6"/>
    </row>
    <row r="13" spans="1:4" x14ac:dyDescent="0.25">
      <c r="A13" s="3" t="s">
        <v>1005</v>
      </c>
      <c r="B13" s="3" t="s">
        <v>65</v>
      </c>
      <c r="C13" s="3" t="s">
        <v>1006</v>
      </c>
      <c r="D13" s="3" t="s">
        <v>1007</v>
      </c>
    </row>
    <row r="14" spans="1:4" x14ac:dyDescent="0.25">
      <c r="A14" s="13" t="s">
        <v>233</v>
      </c>
      <c r="B14" s="32">
        <v>0</v>
      </c>
      <c r="C14" s="35">
        <v>0</v>
      </c>
      <c r="D14" s="13" t="s">
        <v>1008</v>
      </c>
    </row>
    <row r="15" spans="1:4" x14ac:dyDescent="0.25">
      <c r="A15" s="13" t="s">
        <v>235</v>
      </c>
      <c r="B15" s="32">
        <v>0</v>
      </c>
      <c r="C15" s="35">
        <v>0</v>
      </c>
      <c r="D15" s="13" t="s">
        <v>1009</v>
      </c>
    </row>
    <row r="16" spans="1:4" x14ac:dyDescent="0.25">
      <c r="A16" s="13" t="s">
        <v>1010</v>
      </c>
      <c r="B16" s="32">
        <v>0</v>
      </c>
      <c r="C16" s="35">
        <v>0</v>
      </c>
      <c r="D16" s="13" t="s">
        <v>1011</v>
      </c>
    </row>
    <row r="17" spans="1:4" x14ac:dyDescent="0.25">
      <c r="A17" s="33" t="s">
        <v>1012</v>
      </c>
      <c r="B17" s="34">
        <f>B14+B15</f>
      </c>
      <c r="C17" s="33" t="s">
        <v>1013</v>
      </c>
      <c r="D17" s="33">
        <f>IF(AND(B17=B16,B16=B5),"PASS",IF(B17=B16,"FAIL — Total Meters "&amp;B16&amp;" vs Total DTRs "&amp;B5&amp;" (DEF-DTO-002)","FAIL — parts ≠ center"))</f>
      </c>
    </row>
    <row r="19" spans="1:4" x14ac:dyDescent="0.25">
      <c r="A19" s="6" t="s">
        <v>45</v>
      </c>
      <c r="B19" s="6"/>
      <c r="C19" s="6"/>
      <c r="D19" s="6"/>
    </row>
    <row r="20" spans="1:4" x14ac:dyDescent="0.25">
      <c r="A20" s="3" t="s">
        <v>2</v>
      </c>
      <c r="B20" s="3" t="s">
        <v>3</v>
      </c>
      <c r="C20" s="3" t="s">
        <v>1014</v>
      </c>
      <c r="D20" s="3" t="s">
        <v>997</v>
      </c>
    </row>
    <row r="21" spans="1:4" x14ac:dyDescent="0.25">
      <c r="A21" s="5" t="s">
        <v>443</v>
      </c>
      <c r="B21" s="5" t="s">
        <v>1015</v>
      </c>
      <c r="C21" s="5" t="s">
        <v>1016</v>
      </c>
      <c r="D21" s="5" t="s">
        <v>1017</v>
      </c>
    </row>
    <row r="22" spans="1:4" x14ac:dyDescent="0.25">
      <c r="A22" s="5" t="s">
        <v>1018</v>
      </c>
      <c r="B22" s="5" t="s">
        <v>1019</v>
      </c>
      <c r="C22" s="5" t="s">
        <v>1020</v>
      </c>
      <c r="D22" s="5" t="s">
        <v>1021</v>
      </c>
    </row>
    <row r="23" spans="1:4" x14ac:dyDescent="0.25">
      <c r="A23" s="5" t="s">
        <v>1022</v>
      </c>
      <c r="B23" s="5" t="s">
        <v>1023</v>
      </c>
      <c r="C23" s="5" t="s">
        <v>1024</v>
      </c>
      <c r="D23" s="5" t="s">
        <v>1025</v>
      </c>
    </row>
    <row r="24" spans="1:4" x14ac:dyDescent="0.25">
      <c r="A24" s="5" t="s">
        <v>1026</v>
      </c>
      <c r="B24" s="5" t="s">
        <v>1027</v>
      </c>
      <c r="C24" s="5" t="s">
        <v>1028</v>
      </c>
      <c r="D24" s="5" t="s">
        <v>634</v>
      </c>
    </row>
    <row r="26" spans="1:4" x14ac:dyDescent="0.25">
      <c r="A26" s="6" t="s">
        <v>51</v>
      </c>
      <c r="B26" s="6"/>
      <c r="C26" s="6"/>
      <c r="D26" s="6"/>
    </row>
    <row r="27" spans="1:4" x14ac:dyDescent="0.25">
      <c r="A27" s="3" t="s">
        <v>1029</v>
      </c>
      <c r="B27" s="3" t="s">
        <v>1030</v>
      </c>
      <c r="C27" s="3" t="s">
        <v>1031</v>
      </c>
      <c r="D27" s="3" t="s">
        <v>1007</v>
      </c>
    </row>
    <row r="28" spans="1:4" x14ac:dyDescent="0.25">
      <c r="A28" s="13" t="s">
        <v>240</v>
      </c>
      <c r="B28" s="13" t="s">
        <v>1032</v>
      </c>
      <c r="C28" s="13" t="s">
        <v>1033</v>
      </c>
      <c r="D28" s="13" t="s">
        <v>1034</v>
      </c>
    </row>
    <row r="29" spans="1:4" x14ac:dyDescent="0.25">
      <c r="A29" s="13" t="s">
        <v>243</v>
      </c>
      <c r="B29" s="13" t="s">
        <v>1032</v>
      </c>
      <c r="C29" s="13" t="s">
        <v>1035</v>
      </c>
      <c r="D29" s="13" t="s">
        <v>1036</v>
      </c>
    </row>
    <row r="30" spans="1:4" x14ac:dyDescent="0.25">
      <c r="A30" s="13" t="s">
        <v>245</v>
      </c>
      <c r="B30" s="13" t="s">
        <v>1032</v>
      </c>
      <c r="C30" s="13" t="s">
        <v>1037</v>
      </c>
      <c r="D30" s="13" t="s">
        <v>1038</v>
      </c>
    </row>
    <row r="32" spans="1:4" x14ac:dyDescent="0.25">
      <c r="A32" s="33" t="s">
        <v>1039</v>
      </c>
      <c r="B32" s="33" t="s">
        <v>1040</v>
      </c>
      <c r="C32" s="33" t="s">
        <v>1041</v>
      </c>
      <c r="D32" s="33" t="s">
        <v>1042</v>
      </c>
    </row>
    <row r="34" spans="1:4" x14ac:dyDescent="0.25">
      <c r="A34" s="6" t="s">
        <v>1043</v>
      </c>
      <c r="B34" s="6"/>
      <c r="C34" s="6"/>
      <c r="D34" s="6"/>
    </row>
    <row r="35" ht="28" customHeight="1" spans="1:4" x14ac:dyDescent="0.25">
      <c r="A35" s="3" t="s">
        <v>33</v>
      </c>
      <c r="B35" s="3" t="s">
        <v>1044</v>
      </c>
      <c r="C35" s="3" t="s">
        <v>1045</v>
      </c>
      <c r="D35" s="3" t="s">
        <v>1046</v>
      </c>
    </row>
    <row r="36" ht="28" customHeight="1" spans="1:4" x14ac:dyDescent="0.25">
      <c r="A36" s="13" t="s">
        <v>54</v>
      </c>
      <c r="B36" s="13" t="s">
        <v>248</v>
      </c>
      <c r="C36" s="13" t="s">
        <v>114</v>
      </c>
      <c r="D36" s="13" t="s">
        <v>1047</v>
      </c>
    </row>
    <row r="37" ht="28" customHeight="1" spans="1:4" x14ac:dyDescent="0.25">
      <c r="A37" s="13" t="s">
        <v>57</v>
      </c>
      <c r="B37" s="13" t="s">
        <v>248</v>
      </c>
      <c r="C37" s="13" t="s">
        <v>105</v>
      </c>
      <c r="D37" s="13" t="s">
        <v>1048</v>
      </c>
    </row>
    <row r="38" ht="28" customHeight="1" spans="1:4" x14ac:dyDescent="0.25">
      <c r="A38" s="13" t="s">
        <v>60</v>
      </c>
      <c r="B38" s="13" t="s">
        <v>248</v>
      </c>
      <c r="C38" s="13" t="s">
        <v>105</v>
      </c>
      <c r="D38" s="13" t="s">
        <v>1049</v>
      </c>
    </row>
  </sheetData>
  <mergeCells count="6">
    <mergeCell ref="A1:F1"/>
    <mergeCell ref="A3:D3"/>
    <mergeCell ref="A12:D12"/>
    <mergeCell ref="A19:D19"/>
    <mergeCell ref="A26:D26"/>
    <mergeCell ref="A34:D3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AUTOMATION-SCOPE</vt:lpstr>
      <vt:lpstr>COVERAGE-MATRIX</vt:lpstr>
      <vt:lpstr>LISTS</vt:lpstr>
      <vt:lpstr>DEFECTS</vt:lpstr>
      <vt:lpstr>TEST-CASES</vt:lpstr>
      <vt:lpstr>SNAPSHOT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Indoore QA</dc:creator>
  <dc:title>DTR Overview Manual Test Pack</dc:title>
  <dc:subject/>
  <dc:description/>
  <cp:keywords/>
  <cp:category/>
  <cp:lastModifiedBy>Unknown</cp:lastModifiedBy>
  <dcterms:created xsi:type="dcterms:W3CDTF">2026-09-07T08:23:36Z</dcterms:created>
  <dcterms:modified xsi:type="dcterms:W3CDTF">2026-09-07T08:23:36Z</dcterms:modified>
</cp:coreProperties>
</file>