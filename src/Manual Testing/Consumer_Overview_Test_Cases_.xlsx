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333FF2EB-AE31-4060-A654-479F25F843B3}" xr6:coauthVersionLast="36" xr6:coauthVersionMax="36" xr10:uidLastSave="{00000000-0000-0000-0000-000000000000}"/>
  <bookViews>
    <workbookView xWindow="0" yWindow="0" windowWidth="12000" windowHeight="24000" activeTab="5" xr2:uid="{00000000-000D-0000-FFFF-FFFF00000000}"/>
  </bookViews>
  <sheets>
    <sheet name="COVER" sheetId="1" r:id="rId1"/>
    <sheet name="AUTOMATION-SCOPE" sheetId="2" r:id="rId2"/>
    <sheet name="COVERAGE-MATRIX" sheetId="3" r:id="rId3"/>
    <sheet name="LISTS" sheetId="4" state="hidden" r:id="rId4"/>
    <sheet name="TEST-CASES" sheetId="5" r:id="rId5"/>
    <sheet name="DEFECT-REPORT" sheetId="7" r:id="rId6"/>
    <sheet name="SNAPSHOT" sheetId="6" r:id="rId7"/>
  </sheets>
  <calcPr calcId="191029"/>
  <fileRecoveryPr repairLoad="1"/>
</workbook>
</file>

<file path=xl/calcChain.xml><?xml version="1.0" encoding="utf-8"?>
<calcChain xmlns="http://schemas.openxmlformats.org/spreadsheetml/2006/main">
  <c r="B53" i="6" l="1"/>
  <c r="D53" i="6" s="1"/>
  <c r="B40" i="6"/>
  <c r="D40" i="6" s="1"/>
  <c r="B32" i="6"/>
  <c r="D32" i="6" s="1"/>
  <c r="B25" i="6"/>
  <c r="D25" i="6" s="1"/>
  <c r="B17" i="6"/>
  <c r="D17" i="6" s="1"/>
  <c r="B10" i="6"/>
  <c r="D10" i="6" s="1"/>
  <c r="A3" i="5"/>
  <c r="K13" i="3"/>
  <c r="K12" i="3"/>
  <c r="K11" i="3"/>
  <c r="K10" i="3"/>
  <c r="K9" i="3"/>
  <c r="K8" i="3"/>
  <c r="K7" i="3"/>
  <c r="K6" i="3"/>
  <c r="K5" i="3"/>
  <c r="B9" i="2"/>
  <c r="B8" i="2"/>
  <c r="B7" i="2"/>
  <c r="B6" i="2"/>
  <c r="B10" i="2" s="1"/>
</calcChain>
</file>

<file path=xl/sharedStrings.xml><?xml version="1.0" encoding="utf-8"?>
<sst xmlns="http://schemas.openxmlformats.org/spreadsheetml/2006/main" count="2003" uniqueCount="907">
  <si>
    <t>Indoore MDMS — Consumer Overview Manual Test Pack</t>
  </si>
  <si>
    <t>Screen: Dashboard → Consumer Overview (Default Dashboard)  |  URL: https://indore.bestinfra.app  |  Role: Super Admin</t>
  </si>
  <si>
    <t>Field</t>
  </si>
  <si>
    <t>Value</t>
  </si>
  <si>
    <t>Module</t>
  </si>
  <si>
    <t>Dashboard / Consumer Overview</t>
  </si>
  <si>
    <t>Click-through rule</t>
  </si>
  <si>
    <t>Every KPI card, donut segment, legend row, count pill, percentage, sparkline, and category bar/label MUST open related records for that bucket.</t>
  </si>
  <si>
    <t>Download rule</t>
  </si>
  <si>
    <t>Download icons export a file and must NOT navigate to records.</t>
  </si>
  <si>
    <t>Zero-count rule</t>
  </si>
  <si>
    <t>Clicking a 0-count bucket (AGRI, UNKNOWN, Communicating=0) must show empty list — never the full unfiltered list.</t>
  </si>
  <si>
    <t>Count rule</t>
  </si>
  <si>
    <t>List pagination total must equal the number shown on the widget at execution time (screenshot numbers are a baseline only).</t>
  </si>
  <si>
    <t>Total cases</t>
  </si>
  <si>
    <t>Baseline date</t>
  </si>
  <si>
    <t>03-Sep-2026 screenshots</t>
  </si>
  <si>
    <t>Status default</t>
  </si>
  <si>
    <t>Not Executed</t>
  </si>
  <si>
    <t>Automation</t>
  </si>
  <si>
    <t>See AUTOMATION-SCOPE — API suite vs UI click. Column Auto Status on TEST-CASES.</t>
  </si>
  <si>
    <t>How to execute</t>
  </si>
  <si>
    <t>1. Login as Super Admin. Open Dashboard → Consumer Overview. Keep Default Dashboard selected unless the case says otherwise.</t>
  </si>
  <si>
    <t>2. For each case, click EXACTLY the target in column Click Target (card body, number, sparkline, donut slice, legend, count pill, bar, or download icon).</t>
  </si>
  <si>
    <t>3. On the destination list, check: filter/chip matches the click, pagination total equals the widget count, rows belong to that bucket.</t>
  </si>
  <si>
    <t>4. Use browser Back or in-app Back to return. Do not refresh unless the case says so.</t>
  </si>
  <si>
    <t>5. Set Status via dropdown: Pass / Fail / Blocked / Pass with Note / Not Executed. Log Defect ID when Fail.</t>
  </si>
  <si>
    <t>6. If live counts differ from SNAPSHOT, still Pass if the list total matches the live widget. Fail only on wrong filter, missing click, or count mismatch vs the widget.</t>
  </si>
  <si>
    <t>7. Automation: Auto Status is pre-filled. Automated (API) = Playwright already covers the data. Partial = API covers counts/list, UI click still manual. Gap (API)/(UI) = not automated yet.</t>
  </si>
  <si>
    <t>Widgets in scope</t>
  </si>
  <si>
    <t>Widget</t>
  </si>
  <si>
    <t>Type</t>
  </si>
  <si>
    <t>Click destinations</t>
  </si>
  <si>
    <t>Consumers</t>
  </si>
  <si>
    <t>KPI card</t>
  </si>
  <si>
    <t>All consumers</t>
  </si>
  <si>
    <t>Postpaid Connections</t>
  </si>
  <si>
    <t>Postpaid consumers only</t>
  </si>
  <si>
    <t>Prepaid Connections</t>
  </si>
  <si>
    <t>Prepaid consumers only</t>
  </si>
  <si>
    <t>Net Metering Consumers</t>
  </si>
  <si>
    <t>Net metering consumers only</t>
  </si>
  <si>
    <t>Meter Status</t>
  </si>
  <si>
    <t>Donut + legend</t>
  </si>
  <si>
    <t>Communicating / Non-Communicating / Total</t>
  </si>
  <si>
    <t>OEM Distribution</t>
  </si>
  <si>
    <t>L&amp;T / Linkwell Telesystems / Svr Electricals / Total</t>
  </si>
  <si>
    <t>Relay Status Overview</t>
  </si>
  <si>
    <t>Connected / Disconnected / Total</t>
  </si>
  <si>
    <t>Phase Distribution</t>
  </si>
  <si>
    <t>1 PH / 3 PH WC / 3 PH 4 CT / Total</t>
  </si>
  <si>
    <t>Category Distribution</t>
  </si>
  <si>
    <t>Bar list</t>
  </si>
  <si>
    <t>RES, COM, IND, AGRI, SCH, SLIGHT, TEMP, EV, UNKNOWN</t>
  </si>
  <si>
    <t>Consumer Overview — Automation scope (API already in this repo vs still-manual UI)</t>
  </si>
  <si>
    <t>This framework automates HTTP APIs (Playwright). UI onclick / download / cursor stay Gap (UI) until a UI suite is added. Partial = API proves counts and filtered lists; tester still clicks the card.</t>
  </si>
  <si>
    <t>Counts from TEST-CASES column Auto Status (M)</t>
  </si>
  <si>
    <t>Metric</t>
  </si>
  <si>
    <t>Count</t>
  </si>
  <si>
    <t>Meaning</t>
  </si>
  <si>
    <t>Automated (API)</t>
  </si>
  <si>
    <t>Data already asserted in Playwright API/DB tests</t>
  </si>
  <si>
    <t>Partial</t>
  </si>
  <si>
    <t>API covers count/list; UI click still manual</t>
  </si>
  <si>
    <t>Gap (API)</t>
  </si>
  <si>
    <t>Add a Playwright API case (priority for this repo)</t>
  </si>
  <si>
    <t>Gap (UI)</t>
  </si>
  <si>
    <t>Needs UI automation — out of current API framework</t>
  </si>
  <si>
    <t>Total classified</t>
  </si>
  <si>
    <t>Must equal 74 test cases</t>
  </si>
  <si>
    <t>Widget → API map</t>
  </si>
  <si>
    <t>UI click</t>
  </si>
  <si>
    <t>Data API (counts)</t>
  </si>
  <si>
    <t>Drilldown API (related records)</t>
  </si>
  <si>
    <t>Spec</t>
  </si>
  <si>
    <t>Auto status</t>
  </si>
  <si>
    <t>Gap / next action</t>
  </si>
  <si>
    <t>Consumers KPI</t>
  </si>
  <si>
    <t>GET /indore/dashboard/consumer/metrics</t>
  </si>
  <si>
    <t>None — no all-consumers drilldown API</t>
  </si>
  <si>
    <t>dashboardmetrics.spec.ts</t>
  </si>
  <si>
    <t>Automate UI click; optional list API if backend adds one</t>
  </si>
  <si>
    <t>Postpaid / Prepaid / Net Metering</t>
  </si>
  <si>
    <t>GET /indore/dashboard/consumer/metrics consumerType.postpaid|prepaid|netMeter</t>
  </si>
  <si>
    <t>None in DASHBOARD</t>
  </si>
  <si>
    <t>Add drilldown APIs or document that click hits consumer list with query params</t>
  </si>
  <si>
    <t>No /dashboard/consumer communication API</t>
  </si>
  <si>
    <t>GET /indore/master-data/meter-communication-status?communicationStatus=</t>
  </si>
  <si>
    <t>MASTER-DATA meter-communication-status</t>
  </si>
  <si>
    <t>Add consumer dashboard comm widget API tests, or bind UI to master-data API and assert totals</t>
  </si>
  <si>
    <t>GET /indore/dashboard/consumer/metrics oemWiseConsumer</t>
  </si>
  <si>
    <t>GET /indore/dashboard/consumer/oem-distribution?oem=L&amp;T | Linkwell</t>
  </si>
  <si>
    <t>consumeroemdistribution.spec.ts + DB harness</t>
  </si>
  <si>
    <t>GAP: oem=Svr Electricals (count 1 on screenshot)</t>
  </si>
  <si>
    <t>GET /indore/dashboard/consumer/metrics connectionStatus.cd/td/pd</t>
  </si>
  <si>
    <t>GET /indore/dashboard/consumer/connection-status?status=connected|disconnected|permanently-disconnected</t>
  </si>
  <si>
    <t>consumerconnectionstatus.spec.ts + DB harness</t>
  </si>
  <si>
    <t>UI donut omits Permanently Disconnected — likely the 5-count gap (IND-COV-0064)</t>
  </si>
  <si>
    <t>GET /indore/dashboard/consumer/metrics phaseWiseConsumer</t>
  </si>
  <si>
    <t>GET /indore/dashboard/consumer/phase-distribution?phase=1 PH | 3 PH WC | 3 PH 4 CT | HT</t>
  </si>
  <si>
    <t>consumerphasedistribution.spec.ts + DB harness</t>
  </si>
  <si>
    <t>HT is automated in API but not shown on this UI donut</t>
  </si>
  <si>
    <t>GET /indore/dashboard/consumer/metrics categoryWiseConsumer</t>
  </si>
  <si>
    <t>GET /indore/dashboard/consumer/category-distribution?category=Residential | Commercial | Industrial</t>
  </si>
  <si>
    <t>consumercategorydistribution.spec.ts + DB harness</t>
  </si>
  <si>
    <t>GAP live cases: School, Agriculture, Unknown, Temporary, Street Light, EV</t>
  </si>
  <si>
    <t>Download icons</t>
  </si>
  <si>
    <t>UI export</t>
  </si>
  <si>
    <t>None</t>
  </si>
  <si>
    <t>—</t>
  </si>
  <si>
    <t>No export API coverage in DASHBOARD</t>
  </si>
  <si>
    <t>Live Communication toggle</t>
  </si>
  <si>
    <t>UI</t>
  </si>
  <si>
    <t>GET /indore/dashboard/dtr/communication-status</t>
  </si>
  <si>
    <t>dtr/communication-details</t>
  </si>
  <si>
    <t>dtrcommunication.spec.ts</t>
  </si>
  <si>
    <t>Different dashboard mode — DTR widgets, not Consumer Overview cards</t>
  </si>
  <si>
    <t>Already automated — run these</t>
  </si>
  <si>
    <t>Coverage</t>
  </si>
  <si>
    <t>Endpoint</t>
  </si>
  <si>
    <t>Spec file</t>
  </si>
  <si>
    <t>Command</t>
  </si>
  <si>
    <t>Status</t>
  </si>
  <si>
    <t>Dashboard metrics (KPI + donut source counts)</t>
  </si>
  <si>
    <t>npm run test:dashboard</t>
  </si>
  <si>
    <t>Automated</t>
  </si>
  <si>
    <t>Relay / connection-status drilldown</t>
  </si>
  <si>
    <t>GET /indore/dashboard/consumer/connection-status</t>
  </si>
  <si>
    <t>consumerconnectionstatus.spec.ts</t>
  </si>
  <si>
    <t>npx playwright test src/modules/DASHBOARD/tests/consumerconnectionstatus.spec.ts</t>
  </si>
  <si>
    <t>Category drilldown</t>
  </si>
  <si>
    <t>GET /indore/dashboard/consumer/category-distribution</t>
  </si>
  <si>
    <t>consumercategorydistribution.spec.ts</t>
  </si>
  <si>
    <t>npx playwright test src/modules/DASHBOARD/tests/consumercategorydistribution.spec.ts</t>
  </si>
  <si>
    <t>Automated (RES/COM/IND only)</t>
  </si>
  <si>
    <t>Phase drilldown</t>
  </si>
  <si>
    <t>GET /indore/dashboard/consumer/phase-distribution</t>
  </si>
  <si>
    <t>consumerphasedistribution.spec.ts</t>
  </si>
  <si>
    <t>npx playwright test src/modules/DASHBOARD/tests/consumerphasedistribution.spec.ts</t>
  </si>
  <si>
    <t>OEM drilldown</t>
  </si>
  <si>
    <t>GET /indore/dashboard/consumer/oem-distribution</t>
  </si>
  <si>
    <t>consumeroemdistribution.spec.ts</t>
  </si>
  <si>
    <t>npx playwright test src/modules/DASHBOARD/tests/consumeroemdistribution.spec.ts</t>
  </si>
  <si>
    <t>Automated (L&amp;T, Linkwell)</t>
  </si>
  <si>
    <t>DB cross-check (metrics vs drilldown vs DB)</t>
  </si>
  <si>
    <t>same APIs + SQL</t>
  </si>
  <si>
    <t>dashboard.db.spec.ts</t>
  </si>
  <si>
    <t>npm run test:dashboard:db</t>
  </si>
  <si>
    <t>Contract snapshots</t>
  </si>
  <si>
    <t>consumer-*-distribution + metrics + connection-status</t>
  </si>
  <si>
    <t>dashboard.contract.spec.ts</t>
  </si>
  <si>
    <t>npm run test:dashboard:contract</t>
  </si>
  <si>
    <t>Meter communicating / non-communicating</t>
  </si>
  <si>
    <t>GET /indore/master-data/meter-communication-status</t>
  </si>
  <si>
    <t>MASTER-DATA meter-communication-status tests</t>
  </si>
  <si>
    <t>npm run test:master-data</t>
  </si>
  <si>
    <t>Different screen — not Consumer Overview widget API</t>
  </si>
  <si>
    <t>Gaps to automate next (priority)</t>
  </si>
  <si>
    <t>Priority</t>
  </si>
  <si>
    <t>Layer</t>
  </si>
  <si>
    <t>What to add</t>
  </si>
  <si>
    <t>Where</t>
  </si>
  <si>
    <t>Manual cases</t>
  </si>
  <si>
    <t>P1</t>
  </si>
  <si>
    <t>API</t>
  </si>
  <si>
    <t>Category live cases for School, Agriculture, Unknown, Temporary, Street Light, EV</t>
  </si>
  <si>
    <t>src/modules/DASHBOARD/tests/consumercategorydistribution.spec.ts</t>
  </si>
  <si>
    <t>IND-COV-0041 … 0046, 0071</t>
  </si>
  <si>
    <t>OEM live case oem=Svr Electricals (pagination.total = 1)</t>
  </si>
  <si>
    <t>src/modules/DASHBOARD/tests/consumeroemdistribution.spec.ts</t>
  </si>
  <si>
    <t>IND-COV-0025</t>
  </si>
  <si>
    <t>Consumer Overview Meter Status — dashboard communication API or contract vs master-data totals</t>
  </si>
  <si>
    <t>src/modules/MASTER-DATA (meter-communication-status) — not a Consumer Overview dashboard API</t>
  </si>
  <si>
    <t>IND-COV-0015 … 0019, 0062</t>
  </si>
  <si>
    <t>P2</t>
  </si>
  <si>
    <t>Explicit metrics assert: postpaid + prepaid = totalConsumers; netMeter is subset</t>
  </si>
  <si>
    <t>src/modules/DASHBOARD/tests/dashboardmetrics.spec.ts  |  npm run test:dashboard</t>
  </si>
  <si>
    <t>IND-COV-0061</t>
  </si>
  <si>
    <t>Relay: connected + disconnected + permanently-disconnected = total; UI missing PD</t>
  </si>
  <si>
    <t>src/modules/DASHBOARD/tests/consumerconnectionstatus.spec.ts + src/modules/DASHBOARD/tests/dashboard.db.spec.ts  |  npm run test:dashboard:db</t>
  </si>
  <si>
    <t>IND-COV-0064</t>
  </si>
  <si>
    <t>Prepaid / postpaid / net-meter related-records list APIs (if they exist on backend)</t>
  </si>
  <si>
    <t>Not in DASHBOARD module today</t>
  </si>
  <si>
    <t>IND-COV-0008 … 0013</t>
  </si>
  <si>
    <t>P3</t>
  </si>
  <si>
    <t>Playwright UI click-through: each card / slice / legend / bar → filtered list total</t>
  </si>
  <si>
    <t>Not in this repo (API-only framework)</t>
  </si>
  <si>
    <t>IND-COV-0005 … 0047, 0074</t>
  </si>
  <si>
    <t>Download icons export file and do not navigate</t>
  </si>
  <si>
    <t>IND-COV-0054 … 0058, 0070</t>
  </si>
  <si>
    <t>Click-target coverage matrix — Y = must navigate to related records  |  EXP = export only (must not navigate)  |  N/A = control not on this widget</t>
  </si>
  <si>
    <t>Execute every Y cell at least once. Tiny slices (Svr Electricals, 3 PH 4 CT, Communicating, EV) still count. Zero-count Y cells must open an empty list.</t>
  </si>
  <si>
    <t>Entire card / row</t>
  </si>
  <si>
    <t>Numeric value / count pill</t>
  </si>
  <si>
    <t>Sparkline / trend</t>
  </si>
  <si>
    <t>Donut segment / bar</t>
  </si>
  <si>
    <t>Legend / label</t>
  </si>
  <si>
    <t>Percentage</t>
  </si>
  <si>
    <t>Center total</t>
  </si>
  <si>
    <t>Download icon</t>
  </si>
  <si>
    <t>Zero-count path</t>
  </si>
  <si>
    <t>Y count</t>
  </si>
  <si>
    <t>Notes</t>
  </si>
  <si>
    <t>Y</t>
  </si>
  <si>
    <t>N/A</t>
  </si>
  <si>
    <t>Postpaid only</t>
  </si>
  <si>
    <t>Prepaid only (small set)</t>
  </si>
  <si>
    <t>Subset of consumers</t>
  </si>
  <si>
    <t>EXP</t>
  </si>
  <si>
    <t>Communicating may be 0</t>
  </si>
  <si>
    <t>Include Svr Electricals = 1</t>
  </si>
  <si>
    <t>Check Connected+Disconnected gap</t>
  </si>
  <si>
    <t>Include 3 PH 4 CT tiny slice</t>
  </si>
  <si>
    <t>AGRI and UNKNOWN are 0</t>
  </si>
  <si>
    <t>Must-click destinations (unique filters)</t>
  </si>
  <si>
    <t>#</t>
  </si>
  <si>
    <t>Filter / bucket</t>
  </si>
  <si>
    <t>Baseline count (03-Sep-2026)</t>
  </si>
  <si>
    <t>1</t>
  </si>
  <si>
    <t>2</t>
  </si>
  <si>
    <t>Postpaid</t>
  </si>
  <si>
    <t>3</t>
  </si>
  <si>
    <t>Prepaid</t>
  </si>
  <si>
    <t>4</t>
  </si>
  <si>
    <t>Net metering</t>
  </si>
  <si>
    <t>5</t>
  </si>
  <si>
    <t>Communicating</t>
  </si>
  <si>
    <t>0 or 1 (live)</t>
  </si>
  <si>
    <t>6</t>
  </si>
  <si>
    <t>Non-Communicating</t>
  </si>
  <si>
    <t>7</t>
  </si>
  <si>
    <t>L&amp;T</t>
  </si>
  <si>
    <t>8</t>
  </si>
  <si>
    <t>Linkwell Telesystems</t>
  </si>
  <si>
    <t>9</t>
  </si>
  <si>
    <t>Svr Electricals</t>
  </si>
  <si>
    <t>10</t>
  </si>
  <si>
    <t>Connected</t>
  </si>
  <si>
    <t>11</t>
  </si>
  <si>
    <t>Disconnected</t>
  </si>
  <si>
    <t>12</t>
  </si>
  <si>
    <t>1 PH</t>
  </si>
  <si>
    <t>13</t>
  </si>
  <si>
    <t>3 PH WC</t>
  </si>
  <si>
    <t>14</t>
  </si>
  <si>
    <t>3 PH 4 CT</t>
  </si>
  <si>
    <t>15</t>
  </si>
  <si>
    <t>Category</t>
  </si>
  <si>
    <t>RES - Residential</t>
  </si>
  <si>
    <t>16</t>
  </si>
  <si>
    <t>COM - Commercial</t>
  </si>
  <si>
    <t>17</t>
  </si>
  <si>
    <t>IND - Industrial</t>
  </si>
  <si>
    <t>18</t>
  </si>
  <si>
    <t>AGRI - Agriculture</t>
  </si>
  <si>
    <t>19</t>
  </si>
  <si>
    <t>SCH - School</t>
  </si>
  <si>
    <t>20</t>
  </si>
  <si>
    <t>SLIGHT - Street Light</t>
  </si>
  <si>
    <t>21</t>
  </si>
  <si>
    <t>TEMP - Temporary</t>
  </si>
  <si>
    <t>22</t>
  </si>
  <si>
    <t>EV - Electric Vehicle</t>
  </si>
  <si>
    <t>23</t>
  </si>
  <si>
    <t>UNKNOWN - Unknown</t>
  </si>
  <si>
    <t>Auto Status</t>
  </si>
  <si>
    <t>Automation Scope</t>
  </si>
  <si>
    <t>Critical</t>
  </si>
  <si>
    <t>Positive</t>
  </si>
  <si>
    <t>API automated</t>
  </si>
  <si>
    <t>Pass</t>
  </si>
  <si>
    <t>High</t>
  </si>
  <si>
    <t>Negative</t>
  </si>
  <si>
    <t>API + UI click</t>
  </si>
  <si>
    <t>Fail</t>
  </si>
  <si>
    <t>Medium</t>
  </si>
  <si>
    <t>Edge</t>
  </si>
  <si>
    <t>API gap</t>
  </si>
  <si>
    <t>Blocked</t>
  </si>
  <si>
    <t>Low</t>
  </si>
  <si>
    <t>UI only</t>
  </si>
  <si>
    <t>Pass with Note</t>
  </si>
  <si>
    <t>Indoore MDMS — Consumer Overview — Manual Test Cases</t>
  </si>
  <si>
    <t>Click-through pack + automation scope  |  Auto Status: Automated (API) / Partial / Gap (API) / Gap (UI)</t>
  </si>
  <si>
    <t>Precondition: Super Admin on https://indore.bestinfra.app — Default Dashboard selected — related-records total must match the live widget count, not this snapshot</t>
  </si>
  <si>
    <t>Test Case ID</t>
  </si>
  <si>
    <t>Feature</t>
  </si>
  <si>
    <t>Click Target</t>
  </si>
  <si>
    <t>Test Scenario</t>
  </si>
  <si>
    <t>Test Steps</t>
  </si>
  <si>
    <t>Test Data</t>
  </si>
  <si>
    <t>Expected Result</t>
  </si>
  <si>
    <t>Actual Result</t>
  </si>
  <si>
    <t>API Endpoint</t>
  </si>
  <si>
    <t>Spec / Command</t>
  </si>
  <si>
    <t>Tester</t>
  </si>
  <si>
    <t>Execution Date</t>
  </si>
  <si>
    <t>Defect ID</t>
  </si>
  <si>
    <t>Comments</t>
  </si>
  <si>
    <t>1. PAGE LOAD &amp; LAYOUT</t>
  </si>
  <si>
    <t>IND-COV-0001</t>
  </si>
  <si>
    <t>Page Load</t>
  </si>
  <si>
    <t>Page</t>
  </si>
  <si>
    <t>Consumer Overview page loads with title and breadcrumb</t>
  </si>
  <si>
    <t>1. Login as Super Admin on https://indore.bestinfra.app
2. Open Dashboard → Consumer Overview
3. Confirm Default Dashboard is selected
4. Observe page header</t>
  </si>
  <si>
    <t>URL: Dashboard / Consumer Overview</t>
  </si>
  <si>
    <t>Title 'Consumer Overview' is visible. Breadcrumb shows Dashboard / Dashboard. No blank page, spinner stuck, or console-blocking error.</t>
  </si>
  <si>
    <t/>
  </si>
  <si>
    <t>Page title / breadcrumb — Playwright UI</t>
  </si>
  <si>
    <t>IND-COV-0002</t>
  </si>
  <si>
    <t>Toggle</t>
  </si>
  <si>
    <t>Default Dashboard button</t>
  </si>
  <si>
    <t>Default Dashboard is the active view</t>
  </si>
  <si>
    <t>1. Login as Super Admin on https://indore.bestinfra.app
2. Open Dashboard → Consumer Overview
3. Confirm Default Dashboard is selected
4. Observe the two header buttons</t>
  </si>
  <si>
    <t>Buttons: Default Dashboard | Live Communication</t>
  </si>
  <si>
    <t>Default Dashboard is selected (filled dark blue). Live Communication is visible but not selected. All Consumer Overview widgets below belong to Default Dashboard.</t>
  </si>
  <si>
    <t>Default Dashboard vs Live Communication toggle</t>
  </si>
  <si>
    <t>IND-COV-0003</t>
  </si>
  <si>
    <t>Layout</t>
  </si>
  <si>
    <t>All widgets</t>
  </si>
  <si>
    <t>All Consumer Overview widgets render</t>
  </si>
  <si>
    <t>1. Login as Super Admin on https://indore.bestinfra.app
2. Open Dashboard → Consumer Overview
3. Confirm Default Dashboard is selected
4. Scroll the full page top to bottom</t>
  </si>
  <si>
    <t>Expected widgets: Consumers, Postpaid Connections, Prepaid Connections, Net Metering Consumers, Meter Status, OEM Distribution, Relay Status Overview, Phase Distribution, Category Distribution. Screenshot baseline 03-Sep-2026 (use live count on screen if different)</t>
  </si>
  <si>
    <t>All nine widgets render with title, values, and (where designed) a download icon. No overlapping cards, clipped titles, or missing charts.</t>
  </si>
  <si>
    <t>GET /indore/dashboard/consumer/metrics plus drilldown APIs prove widgets have data; layout is UI</t>
  </si>
  <si>
    <t>IND-COV-0004</t>
  </si>
  <si>
    <t>Cursor</t>
  </si>
  <si>
    <t>Each clickable widget</t>
  </si>
  <si>
    <t>Clickable cards and graph parts show pointer cursor</t>
  </si>
  <si>
    <t>1. Login as Super Admin on https://indore.bestinfra.app
2. Open Dashboard → Consumer Overview
3. Confirm Default Dashboard is selected
4. Hover KPI cards, donut segments, legend rows, count pills, category bars, and download icons</t>
  </si>
  <si>
    <t>Hover each interactive control</t>
  </si>
  <si>
    <t>Pointer (hand) cursor on every clickable area. Download icon is distinct from drill-down. Non-clickable padding/page background stays default cursor.</t>
  </si>
  <si>
    <t>Pointer cursor / hit-area</t>
  </si>
  <si>
    <t>2. KPI CARDS — CLICK TO RELATED RECORDS</t>
  </si>
  <si>
    <t>IND-COV-0005</t>
  </si>
  <si>
    <t>Entire Consumers card</t>
  </si>
  <si>
    <t>Click Consumers KPI card opens all consumer records</t>
  </si>
  <si>
    <t>1. Login as Super Admin on https://indore.bestinfra.app
2. Open Dashboard → Consumer Overview
3. Confirm Default Dashboard is selected
4. Note the Consumers count
5. Click anywhere on the Consumers card (icon, title, value, or sparkline)
6. Observe the destination list</t>
  </si>
  <si>
    <t>Screenshot baseline 03-Sep-2026 (use live count on screen if different): Consumers = 126,482</t>
  </si>
  <si>
    <t>Navigates to related consumer records. List total = Consumers count shown on the card. Related records list opens (consumer/meter grid). Typical columns: Sl.No., Consumer Name, Consumer Address, IVRS, Meter Sl No., Phase, Service Date. Pagination total equals the number clicked. Filter/chip matches the clicked bucket. No unfiltered dump of all consumers.</t>
  </si>
  <si>
    <t>GET /indore/dashboard/consumer/metrics → data.consumerType.totalConsumers.count  |  UI click has no API</t>
  </si>
  <si>
    <t>IND-COV-0006</t>
  </si>
  <si>
    <t>Consumers numeric value</t>
  </si>
  <si>
    <t>Click the Consumers number (not only the card edge)</t>
  </si>
  <si>
    <t>1. Login as Super Admin on https://indore.bestinfra.app
2. Open Dashboard → Consumer Overview
3. Confirm Default Dashboard is selected
4. Click the large number on Consumers (e.g. 126,482)
5. Confirm same destination as clicking the card body</t>
  </si>
  <si>
    <t>Click target: large KPI value</t>
  </si>
  <si>
    <t>Same related-records list as clicking the rest of the card. Count matches. Click is not a no-op.</t>
  </si>
  <si>
    <t>Click KPI number — same destination as card</t>
  </si>
  <si>
    <t>IND-COV-0007</t>
  </si>
  <si>
    <t>Consumers sparkline</t>
  </si>
  <si>
    <t>Click Consumers sparkline also drills down</t>
  </si>
  <si>
    <t>1. Login as Super Admin on https://indore.bestinfra.app
2. Open Dashboard → Consumer Overview
3. Confirm Default Dashboard is selected
4. Click the green sparkline on the Consumers card</t>
  </si>
  <si>
    <t>Sparkline on Consumers card</t>
  </si>
  <si>
    <t>Navigates to the same all-consumers related records as the card click. Sparkline is not dead / chart-only.</t>
  </si>
  <si>
    <t>GET /indore/dashboard/consumer/metrics → consumerType.totalConsumers.trends / sparkline  |  click is UI</t>
  </si>
  <si>
    <t>IND-COV-0008</t>
  </si>
  <si>
    <t>Entire Postpaid card</t>
  </si>
  <si>
    <t>Click Postpaid Connections opens only postpaid records</t>
  </si>
  <si>
    <t>1. Login as Super Admin on https://indore.bestinfra.app
2. Open Dashboard → Consumer Overview
3. Confirm Default Dashboard is selected
4. Note Postpaid count
5. Click the Postpaid Connections card
6. Check list filter and total</t>
  </si>
  <si>
    <t>Screenshot baseline 03-Sep-2026 (use live count on screen if different): Postpaid = 126,474</t>
  </si>
  <si>
    <t>Navigates to related records filtered to Postpaid. List total = Postpaid count on the card. Prepaid and Net Metering consumers are not mixed in unless they are also postpaid.</t>
  </si>
  <si>
    <t>GET /indore/dashboard/consumer/metrics → data.consumerType.postpaid  |  no prepaid/postpaid drilldown list API in DASHBOARD</t>
  </si>
  <si>
    <t>IND-COV-0009</t>
  </si>
  <si>
    <t>Postpaid sparkline / trend text</t>
  </si>
  <si>
    <t>Click Postpaid sparkline or MoM text drills to postpaid records</t>
  </si>
  <si>
    <t>1. Login as Super Admin on https://indore.bestinfra.app
2. Open Dashboard → Consumer Overview
3. Confirm Default Dashboard is selected
4. Click the blue sparkline
5. Return via browser Back
6. Click the trend text 'Decreased by -2158 vs Last Month'</t>
  </si>
  <si>
    <t>Screenshot baseline 03-Sep-2026 (use live count on screen if different): Decreased by -2158 vs Last Month (red/pink)</t>
  </si>
  <si>
    <t>Both sparkline and trend text open the Postpaid related-records list. Trend text is not a dead label.</t>
  </si>
  <si>
    <t>GET /indore/dashboard/consumer/metrics → postpaid.trends / sparkline</t>
  </si>
  <si>
    <t>IND-COV-0010</t>
  </si>
  <si>
    <t>Entire Prepaid card</t>
  </si>
  <si>
    <t>Click Prepaid Connections opens only prepaid records</t>
  </si>
  <si>
    <t>1. Login as Super Admin on https://indore.bestinfra.app
2. Open Dashboard → Consumer Overview
3. Confirm Default Dashboard is selected
4. Note Prepaid count
5. Click the Prepaid Connections card
6. Count rows / pagination total</t>
  </si>
  <si>
    <t>Screenshot baseline 03-Sep-2026 (use live count on screen if different): Prepaid = 8</t>
  </si>
  <si>
    <t>Navigates to related records filtered to Prepaid. List total = 8 (or live Prepaid count). All visible rows are prepaid. Empty/error page is a fail if count &gt; 0.</t>
  </si>
  <si>
    <t>GET /indore/dashboard/consumer/metrics → data.consumerType.prepaid  |  no prepaid drilldown list API</t>
  </si>
  <si>
    <t>IND-COV-0011</t>
  </si>
  <si>
    <t>Prepaid sparkline</t>
  </si>
  <si>
    <t>Click Prepaid sparkline drills to the same 8 prepaid records</t>
  </si>
  <si>
    <t>1. Login as Super Admin on https://indore.bestinfra.app
2. Open Dashboard → Consumer Overview
3. Confirm Default Dashboard is selected
4. Click the orange sparkline on Prepaid Connections</t>
  </si>
  <si>
    <t>Screenshot baseline 03-Sep-2026 (use live count on screen if different): No Change 0 vs Last Month (blue)</t>
  </si>
  <si>
    <t>Same prepaid related-records list as the card click. Total still matches Prepaid count.</t>
  </si>
  <si>
    <t>GET /indore/dashboard/consumer/metrics → prepaid.trends / sparkline</t>
  </si>
  <si>
    <t>IND-COV-0012</t>
  </si>
  <si>
    <t>Entire Net Metering card</t>
  </si>
  <si>
    <t>Click Net Metering Consumers opens only net-meter records</t>
  </si>
  <si>
    <t>1. Login as Super Admin on https://indore.bestinfra.app
2. Open Dashboard → Consumer Overview
3. Confirm Default Dashboard is selected
4. Note Net Metering count
5. Click the Net Metering Consumers card</t>
  </si>
  <si>
    <t>Screenshot baseline 03-Sep-2026 (use live count on screen if different): Net Metering = 177; Decreased by -2 vs Last Month</t>
  </si>
  <si>
    <t>Navigates to related records filtered to Net Metering. List total = 177 (or live count). This is a subset of Consumers, not an extra 177 on top of 126,482.</t>
  </si>
  <si>
    <t>GET /indore/dashboard/consumer/metrics → data.consumerType.netMeter  |  no net-meter drilldown list API</t>
  </si>
  <si>
    <t>IND-COV-0013</t>
  </si>
  <si>
    <t>Net Metering value + sparkline</t>
  </si>
  <si>
    <t>Click Net Metering number and sparkline both drill down</t>
  </si>
  <si>
    <t>1. Login as Super Admin on https://indore.bestinfra.app
2. Open Dashboard → Consumer Overview
3. Confirm Default Dashboard is selected
4. Click the number 177
5. Back
6. Click the red sparkline</t>
  </si>
  <si>
    <t>Value and sparkline on Net Metering card</t>
  </si>
  <si>
    <t>Both clicks open the same net-metering related-records list with matching total.</t>
  </si>
  <si>
    <t>GET /indore/dashboard/consumer/metrics → netMeter.trends / sparkline</t>
  </si>
  <si>
    <t>IND-COV-0014</t>
  </si>
  <si>
    <t>KPI cards</t>
  </si>
  <si>
    <t>Browser Back</t>
  </si>
  <si>
    <t>Back from a KPI drill-down returns to Consumer Overview</t>
  </si>
  <si>
    <t>1. Login as Super Admin on https://indore.bestinfra.app
2. Open Dashboard → Consumer Overview
3. Confirm Default Dashboard is selected
4. Click Consumers card
5. Wait for list to load
6. Press browser Back</t>
  </si>
  <si>
    <t>Browser Back after KPI drill-down</t>
  </si>
  <si>
    <t>Returns to Consumer Overview Default Dashboard with all widgets intact. Default Dashboard remains selected. Counts still visible.</t>
  </si>
  <si>
    <t>Browser Back after drill-down</t>
  </si>
  <si>
    <t>3. METER STATUS — CLICK TO RELATED RECORDS</t>
  </si>
  <si>
    <t>IND-COV-0015</t>
  </si>
  <si>
    <t>Non-Communicating donut segment</t>
  </si>
  <si>
    <t>Click Non-Communicating donut segment opens those meters</t>
  </si>
  <si>
    <t>1. Login as Super Admin on https://indore.bestinfra.app
2. Open Dashboard → Consumer Overview
3. Confirm Default Dashboard is selected
4. Note Non-Communicating count and %
5. Click the orange donut segment
6. Check list total and filter</t>
  </si>
  <si>
    <t>Screenshot baseline 03-Sep-2026 (use live count on screen if different): Non-Communicating ≈ 126,481 (100.00%) — use live value</t>
  </si>
  <si>
    <t>Navigates to related records filtered to Non-Communicating. List total = Non-Communicating count. Communicating meters are not listed.</t>
  </si>
  <si>
    <t>GET /indore/master-data/meter-communication-status?communicationStatus=non-communicating  |  Consumer Overview Meter Status has NO /dashboard/consumer communication API</t>
  </si>
  <si>
    <t>IND-COV-0016</t>
  </si>
  <si>
    <t>Non-Communicating legend row / count pill</t>
  </si>
  <si>
    <t>Click Non-Communicating legend label or count pill</t>
  </si>
  <si>
    <t>1. Login as Super Admin on https://indore.bestinfra.app
2. Open Dashboard → Consumer Overview
3. Confirm Default Dashboard is selected
4. Click the legend text 'Non-Communicating'
5. Back
6. Click the orange count pill</t>
  </si>
  <si>
    <t>Legend label and count pill</t>
  </si>
  <si>
    <t>Both clicks open the same Non-Communicating related-records list as the donut segment. Segment and legend stay in sync.</t>
  </si>
  <si>
    <t>GET /indore/master-data/meter-communication-status?communicationStatus=non-communicating (legend/pill is UI)</t>
  </si>
  <si>
    <t>IND-COV-0017</t>
  </si>
  <si>
    <t>Communicating donut segment</t>
  </si>
  <si>
    <t>Click Communicating donut segment (tiny / near-zero)</t>
  </si>
  <si>
    <t>1. Login as Super Admin on https://indore.bestinfra.app
2. Open Dashboard → Consumer Overview
3. Confirm Default Dashboard is selected
4. Note Communicating count
5. Click the blue donut segment if visible; otherwise click the Communicating legend row</t>
  </si>
  <si>
    <t>Screenshot baseline 03-Sep-2026 (use live count on screen if different): Communicating was 0 on one capture and 1 on another — use live count</t>
  </si>
  <si>
    <t>If count &gt; 0: list total equals Communicating count and every row is communicating. If count = 0: empty state / 0 records (not an error, and not the full 126k list).</t>
  </si>
  <si>
    <t>GET /indore/master-data/meter-communication-status?communicationStatus=communicating (empty when total=0)</t>
  </si>
  <si>
    <t>IND-COV-0018</t>
  </si>
  <si>
    <t>Communicating legend row / count pill</t>
  </si>
  <si>
    <t>Click Communicating legend and count pill</t>
  </si>
  <si>
    <t>1. Login as Super Admin on https://indore.bestinfra.app
2. Open Dashboard → Consumer Overview
3. Confirm Default Dashboard is selected
4. Click 'Communicating' legend text
5. Back
6. Click the Communicating count pill</t>
  </si>
  <si>
    <t>Legend + count pill for Communicating</t>
  </si>
  <si>
    <t>Same destination as the Communicating segment. Empty-state rule from IND-COV-0017 still applies when count is 0.</t>
  </si>
  <si>
    <t>GET /indore/master-data/meter-communication-status?communicationStatus=communicating</t>
  </si>
  <si>
    <t>IND-COV-0019</t>
  </si>
  <si>
    <t>Center total on donut</t>
  </si>
  <si>
    <t>Click donut center total opens all meter/consumer records</t>
  </si>
  <si>
    <t>1. Login as Super Admin on https://indore.bestinfra.app
2. Open Dashboard → Consumer Overview
3. Confirm Default Dashboard is selected
4. Click the center text 'Total 126,482' (or live total)</t>
  </si>
  <si>
    <t>Screenshot baseline 03-Sep-2026 (use live count on screen if different): Total 126,482</t>
  </si>
  <si>
    <t>Navigates to related records for the full Meter Status population. List total = center total. If center is not clickable, log as defect against the click-through rule.</t>
  </si>
  <si>
    <t>No dashboard center-total drilldown API for Meter Status</t>
  </si>
  <si>
    <t>IND-COV-0020</t>
  </si>
  <si>
    <t>Percentage value</t>
  </si>
  <si>
    <t>Click Meter Status percentage also drills down</t>
  </si>
  <si>
    <t>1. Login as Super Admin on https://indore.bestinfra.app
2. Open Dashboard → Consumer Overview
3. Confirm Default Dashboard is selected
4. Click '100.00%' next to Non-Communicating</t>
  </si>
  <si>
    <t>Percentage column on Meter Status legend</t>
  </si>
  <si>
    <t>Opens Non-Communicating related records (same as clicking that row). Percentage is not a dead label.</t>
  </si>
  <si>
    <t>Click percentage on Meter Status legend</t>
  </si>
  <si>
    <t>4. OEM DISTRIBUTION — CLICK TO RELATED RECORDS</t>
  </si>
  <si>
    <t>IND-COV-0021</t>
  </si>
  <si>
    <t>L&amp;T donut segment</t>
  </si>
  <si>
    <t>Click L&amp;T (blue) segment opens L&amp;T meters</t>
  </si>
  <si>
    <t>1. Login as Super Admin on https://indore.bestinfra.app
2. Open Dashboard → Consumer Overview
3. Confirm Default Dashboard is selected
4. Note L&amp;T count 111,424 (or live)
5. Click the large blue donut segment</t>
  </si>
  <si>
    <t>Screenshot baseline 03-Sep-2026 (use live count on screen if different): L&amp;T = 111,424 (88.1%)</t>
  </si>
  <si>
    <t>Navigates to related records filtered to manufacturer L&amp;T. List total = L&amp;T count. Manufacturer column (if shown) is L&amp;T only.</t>
  </si>
  <si>
    <t>GET /indore/dashboard/consumer/oem-distribution?oem=L&amp;T</t>
  </si>
  <si>
    <t>src/modules/DASHBOARD/tests/consumeroemdistribution.spec.ts  |  @smoke live oem=L&amp;T</t>
  </si>
  <si>
    <t>IND-COV-0022</t>
  </si>
  <si>
    <t>L&amp;T legend / count pill</t>
  </si>
  <si>
    <t>Click L&amp;T legend row or count pill</t>
  </si>
  <si>
    <t>1. Login as Super Admin on https://indore.bestinfra.app
2. Open Dashboard → Consumer Overview
3. Confirm Default Dashboard is selected
4. Click legend 'L&amp;T'
5. Back
6. Click L&amp;T count pill</t>
  </si>
  <si>
    <t>L&amp;T legend and count</t>
  </si>
  <si>
    <t>Same L&amp;T related-records list as the blue segment. Total matches the L&amp;T count on the card.</t>
  </si>
  <si>
    <t>GET /indore/dashboard/consumer/oem-distribution?oem=L&amp;T (legend is UI; list total is API)</t>
  </si>
  <si>
    <t>IND-COV-0023</t>
  </si>
  <si>
    <t>Linkwell Telesystems donut segment</t>
  </si>
  <si>
    <t>Click Linkwell (orange) segment opens Linkwell meters</t>
  </si>
  <si>
    <t>1. Login as Super Admin on https://indore.bestinfra.app
2. Open Dashboard → Consumer Overview
3. Confirm Default Dashboard is selected
4. Click the orange donut segment
5. Confirm list total and manufacturer filter</t>
  </si>
  <si>
    <t>Screenshot baseline 03-Sep-2026 (use live count on screen if different): Linkwell Telesystems = 15,057 (11.9%)</t>
  </si>
  <si>
    <t>Navigates to related records filtered to Linkwell Telesystems. List total = 15,057 (or live). L&amp;T rows are not included.</t>
  </si>
  <si>
    <t>GET /indore/dashboard/consumer/oem-distribution?oem=Linkwell</t>
  </si>
  <si>
    <t>src/modules/DASHBOARD/tests/consumeroemdistribution.spec.ts  |  live oem=Linkwell</t>
  </si>
  <si>
    <t>IND-COV-0024</t>
  </si>
  <si>
    <t>Linkwell legend / count pill</t>
  </si>
  <si>
    <t>Click Linkwell Telesystems legend or count</t>
  </si>
  <si>
    <t>1. Login as Super Admin on https://indore.bestinfra.app
2. Open Dashboard → Consumer Overview
3. Confirm Default Dashboard is selected
4. Click 'Linkwell Telesystems'
5. Back
6. Click the orange count pill 15057</t>
  </si>
  <si>
    <t>Linkwell legend and count pill</t>
  </si>
  <si>
    <t>Same Linkwell related-records list as the orange segment.</t>
  </si>
  <si>
    <t>Svr Electricals segment / legend</t>
  </si>
  <si>
    <t>Click tiny OEM (Svr Electricals, count 1)</t>
  </si>
  <si>
    <t>1. Login as Super Admin on https://indore.bestinfra.app
2. Open Dashboard → Consumer Overview
3. Confirm Default Dashboard is selected
4. Click the green sliver if visible, else click 'Svr Electricals' legend row or count 1</t>
  </si>
  <si>
    <t>Screenshot baseline 03-Sep-2026 (use live count on screen if different): Svr Electricals = 1 (0.0%)</t>
  </si>
  <si>
    <t>Navigates to related records for Svr Electricals. List total = 1. Exactly one row. Tiny segment is still clickable (or legend is). Do not skip because the slice is small.</t>
  </si>
  <si>
    <t>GET /indore/dashboard/consumer/oem-distribution?oem=Svr Electricals  |  suite only covers L&amp;T and Linkwell</t>
  </si>
  <si>
    <t>src/modules/DASHBOARD/tests/consumeroemdistribution.spec.ts  |  GAP: add oem=Svr Electricals</t>
  </si>
  <si>
    <t>IND-COV-0026</t>
  </si>
  <si>
    <t>Center Total Meters</t>
  </si>
  <si>
    <t>Click OEM center total opens all OEM meters</t>
  </si>
  <si>
    <t>1. Login as Super Admin on https://indore.bestinfra.app
2. Open Dashboard → Consumer Overview
3. Confirm Default Dashboard is selected
4. Click center text 'Total Meters 126,482'</t>
  </si>
  <si>
    <t>Screenshot baseline 03-Sep-2026 (use live count on screen if different): Total Meters 126,482</t>
  </si>
  <si>
    <t>Navigates to related records for all OEMs. List total = center total = sum of L&amp;T + Linkwell + Svr Electricals.</t>
  </si>
  <si>
    <t>GET /indore/dashboard/consumer/metrics → oemWiseConsumer sum  |  src/modules/DASHBOARD/tests/dashboard.db.spec.ts  |  npm run test:dashboard:db</t>
  </si>
  <si>
    <t>5. RELAY STATUS OVERVIEW — CLICK TO RELATED RECORDS</t>
  </si>
  <si>
    <t>IND-COV-0027</t>
  </si>
  <si>
    <t>Connected donut segment</t>
  </si>
  <si>
    <t>Click Connected (blue) segment opens connected meters</t>
  </si>
  <si>
    <t>1. Login as Super Admin on https://indore.bestinfra.app
2. Open Dashboard → Consumer Overview
3. Confirm Default Dashboard is selected
4. Note Connected count
5. Click the large blue donut segment</t>
  </si>
  <si>
    <t>Screenshot baseline 03-Sep-2026 (use live count on screen if different): Connected = 122,639 (97.0%)</t>
  </si>
  <si>
    <t>Navigates to related records filtered to Connected (relay/connection status). List total = Connected count. Disconnected rows are not listed.</t>
  </si>
  <si>
    <t>GET /indore/dashboard/consumer/connection-status?status=connected</t>
  </si>
  <si>
    <t>src/modules/DASHBOARD/tests/consumerconnectionstatus.spec.ts  |  @smoke status=connected</t>
  </si>
  <si>
    <t>IND-COV-0028</t>
  </si>
  <si>
    <t>Connected legend / count pill</t>
  </si>
  <si>
    <t>Click Connected legend or count pill</t>
  </si>
  <si>
    <t>1. Login as Super Admin on https://indore.bestinfra.app
2. Open Dashboard → Consumer Overview
3. Confirm Default Dashboard is selected
4. Click 'Connected'
5. Back
6. Click count pill 122,639</t>
  </si>
  <si>
    <t>Connected legend and count</t>
  </si>
  <si>
    <t>Same Connected related-records list as the blue segment.</t>
  </si>
  <si>
    <t>src/modules/DASHBOARD/tests/consumerconnectionstatus.spec.ts</t>
  </si>
  <si>
    <t>IND-COV-0029</t>
  </si>
  <si>
    <t>Disconnected donut segment</t>
  </si>
  <si>
    <t>Click Disconnected (orange) segment</t>
  </si>
  <si>
    <t>1. Login as Super Admin on https://indore.bestinfra.app
2. Open Dashboard → Consumer Overview
3. Confirm Default Dashboard is selected
4. Click the small orange donut segment</t>
  </si>
  <si>
    <t>Screenshot baseline 03-Sep-2026 (use live count on screen if different): Disconnected = 3,838 (3.0%)</t>
  </si>
  <si>
    <t>Navigates to related records filtered to Disconnected. List total = 3,838 (or live). All visible rows show Disconnected / TD status.</t>
  </si>
  <si>
    <t>GET /indore/dashboard/consumer/connection-status?status=disconnected</t>
  </si>
  <si>
    <t>IND-COV-0030</t>
  </si>
  <si>
    <t>Disconnected legend / count pill</t>
  </si>
  <si>
    <t>Click Disconnected legend or count pill</t>
  </si>
  <si>
    <t>1. Login as Super Admin on https://indore.bestinfra.app
2. Open Dashboard → Consumer Overview
3. Confirm Default Dashboard is selected
4. Click 'Disconnected'
5. Back
6. Click the orange count pill</t>
  </si>
  <si>
    <t>Disconnected legend and count</t>
  </si>
  <si>
    <t>Same Disconnected related-records list as the orange segment.</t>
  </si>
  <si>
    <t>IND-COV-0031</t>
  </si>
  <si>
    <t>Click Relay center total</t>
  </si>
  <si>
    <t>1. Login as Super Admin on https://indore.bestinfra.app
2. Open Dashboard → Consumer Overview
3. Confirm Default Dashboard is selected
4. Click 'Total Meters 126,482' in the Relay donut center</t>
  </si>
  <si>
    <t>Navigates to related records for the Relay Status population. List total = center total.</t>
  </si>
  <si>
    <t>GET /indore/dashboard/consumer/metrics → connectionStatus.totalMeterCount</t>
  </si>
  <si>
    <t>src/modules/DASHBOARD/tests/consumerconnectionstatus.spec.ts  |  also status=permanently-disconnected (not on this donut)</t>
  </si>
  <si>
    <t>6. PHASE DISTRIBUTION — CLICK TO RELATED RECORDS</t>
  </si>
  <si>
    <t>IND-COV-0032</t>
  </si>
  <si>
    <t>1 PH donut segment</t>
  </si>
  <si>
    <t>Click 1 PH (blue) segment opens 1-phase records</t>
  </si>
  <si>
    <t>1. Login as Super Admin on https://indore.bestinfra.app
2. Open Dashboard → Consumer Overview
3. Confirm Default Dashboard is selected
4. Click the large blue donut segment</t>
  </si>
  <si>
    <t>Screenshot baseline 03-Sep-2026 (use live count on screen if different): 1 PH = 113,561 (89.8%)</t>
  </si>
  <si>
    <t>Navigates to related records filtered to meter phase 1 PH. List total = 113,561 (or live). Phase column on rows is 1 PH.</t>
  </si>
  <si>
    <t>GET /indore/dashboard/consumer/phase-distribution?phase=1 PH</t>
  </si>
  <si>
    <t>src/modules/DASHBOARD/tests/consumerphasedistribution.spec.ts  |  @smoke phase=1 PH</t>
  </si>
  <si>
    <t>IND-COV-0033</t>
  </si>
  <si>
    <t>1 PH legend / count pill</t>
  </si>
  <si>
    <t>Click 1 PH legend or count pill</t>
  </si>
  <si>
    <t>1. Login as Super Admin on https://indore.bestinfra.app
2. Open Dashboard → Consumer Overview
3. Confirm Default Dashboard is selected
4. Click legend '1 PH'
5. Back
6. Click count pill 113,561</t>
  </si>
  <si>
    <t>1 PH legend and count</t>
  </si>
  <si>
    <t>Same 1 PH related-records list as the blue segment.</t>
  </si>
  <si>
    <t>src/modules/DASHBOARD/tests/consumerphasedistribution.spec.ts</t>
  </si>
  <si>
    <t>IND-COV-0034</t>
  </si>
  <si>
    <t>3 PH WC donut segment</t>
  </si>
  <si>
    <t>Click 3 PH WC (orange) segment</t>
  </si>
  <si>
    <t>1. Login as Super Admin on https://indore.bestinfra.app
2. Open Dashboard → Consumer Overview
3. Confirm Default Dashboard is selected
4. Click the orange donut segment</t>
  </si>
  <si>
    <t>Screenshot baseline 03-Sep-2026 (use live count on screen if different): 3 PH WC = 12,628 (10.0%)</t>
  </si>
  <si>
    <t>Navigates to related records filtered to 3 PH WC. List total = 12,628 (or live). Phase on rows is 3 PH WC.</t>
  </si>
  <si>
    <t>GET /indore/dashboard/consumer/phase-distribution?phase=3 PH WC</t>
  </si>
  <si>
    <t>IND-COV-0035</t>
  </si>
  <si>
    <t>3 PH WC legend / count pill</t>
  </si>
  <si>
    <t>Click 3 PH WC legend or count pill</t>
  </si>
  <si>
    <t>1. Login as Super Admin on https://indore.bestinfra.app
2. Open Dashboard → Consumer Overview
3. Confirm Default Dashboard is selected
4. Click '3 PH WC'
5. Back
6. Click orange count pill</t>
  </si>
  <si>
    <t>3 PH WC legend and count</t>
  </si>
  <si>
    <t>Same 3 PH WC related-records list as the orange segment.</t>
  </si>
  <si>
    <t>IND-COV-0036</t>
  </si>
  <si>
    <t>3 PH 4 CT segment / legend</t>
  </si>
  <si>
    <t>Click tiny 3 PH 4 CT (green) slice or legend</t>
  </si>
  <si>
    <t>1. Login as Super Admin on https://indore.bestinfra.app
2. Open Dashboard → Consumer Overview
3. Confirm Default Dashboard is selected
4. Click green sliver if visible, else click '3 PH 4 CT' legend or count 293</t>
  </si>
  <si>
    <t>Screenshot baseline 03-Sep-2026 (use live count on screen if different): 3 PH 4 CT = 293 (0.2%)</t>
  </si>
  <si>
    <t>Navigates to related records filtered to 3 PH 4 CT. List total = 293 (or live). Tiny slice is still reachable via legend if the sliver is hard to hit.</t>
  </si>
  <si>
    <t>GET /indore/dashboard/consumer/phase-distribution?phase=3 PH 4 CT</t>
  </si>
  <si>
    <t>IND-COV-0037</t>
  </si>
  <si>
    <t>Click Phase center total</t>
  </si>
  <si>
    <t>1. Login as Super Admin on https://indore.bestinfra.app
2. Open Dashboard → Consumer Overview
3. Confirm Default Dashboard is selected
4. Click 'Total Meters 126,482' on Phase Distribution</t>
  </si>
  <si>
    <t>Navigates to related records for all phases shown. List total = center total = 1 PH + 3 PH WC + 3 PH 4 CT.</t>
  </si>
  <si>
    <t>GET /indore/dashboard/consumer/metrics → phaseWiseConsumer  |  API also has HT (not on this UI donut)</t>
  </si>
  <si>
    <t>7. CATEGORY DISTRIBUTION — CLICK TO RELATED RECORDS</t>
  </si>
  <si>
    <t>IND-COV-0038</t>
  </si>
  <si>
    <t>RES - Residential row / bar</t>
  </si>
  <si>
    <t>Click Residential category opens residential consumers</t>
  </si>
  <si>
    <t>1. Login as Super Admin on https://indore.bestinfra.app
2. Open Dashboard → Consumer Overview
3. Confirm Default Dashboard is selected
4. Click label 'RES - Residential (90,580)'
5. Back
6. Click the red bar</t>
  </si>
  <si>
    <t>Screenshot baseline 03-Sep-2026 (use live count on screen if different): RES - Residential (90,580) 71.61%</t>
  </si>
  <si>
    <t>Both label and bar open related records filtered to Residential. List total = 90,580 (or live). Category on records is Residential.</t>
  </si>
  <si>
    <t>GET /indore/dashboard/consumer/category-distribution?category=Residential</t>
  </si>
  <si>
    <t>src/modules/DASHBOARD/tests/consumercategorydistribution.spec.ts  |  @smoke category=Residential</t>
  </si>
  <si>
    <t>IND-COV-0039</t>
  </si>
  <si>
    <t>COM - Commercial row / bar</t>
  </si>
  <si>
    <t>Click Commercial category</t>
  </si>
  <si>
    <t>1. Login as Super Admin on https://indore.bestinfra.app
2. Open Dashboard → Consumer Overview
3. Confirm Default Dashboard is selected
4. Click 'COM - Commercial (21,196)' or the orange bar</t>
  </si>
  <si>
    <t>Screenshot baseline 03-Sep-2026 (use live count on screen if different): COM - Commercial (21,196) 16.76%</t>
  </si>
  <si>
    <t>Navigates to Commercial related records. List total = 21,196 (or live).</t>
  </si>
  <si>
    <t>GET /indore/dashboard/consumer/category-distribution?category=Commercial</t>
  </si>
  <si>
    <t>IND-COV-0040</t>
  </si>
  <si>
    <t>IND - Industrial row / bar</t>
  </si>
  <si>
    <t>Click Industrial category</t>
  </si>
  <si>
    <t>1. Login as Super Admin on https://indore.bestinfra.app
2. Open Dashboard → Consumer Overview
3. Confirm Default Dashboard is selected
4. Click 'IND - Industrial (1,181)' or the yellow-orange bar</t>
  </si>
  <si>
    <t>Screenshot baseline 03-Sep-2026 (use live count on screen if different): IND - Industrial (1,181) 0.93%</t>
  </si>
  <si>
    <t>Navigates to Industrial related records. List total = 1,181 (or live).</t>
  </si>
  <si>
    <t>GET /indore/dashboard/consumer/category-distribution?category=Industrial</t>
  </si>
  <si>
    <t>IND-COV-0041</t>
  </si>
  <si>
    <t>AGRI - Agriculture row / bar</t>
  </si>
  <si>
    <t>Click Agriculture when count is 0</t>
  </si>
  <si>
    <t>1. Login as Super Admin on https://indore.bestinfra.app
2. Open Dashboard → Consumer Overview
3. Confirm Default Dashboard is selected
4. Click 'AGRI - Agriculture (0)' or the empty green bar</t>
  </si>
  <si>
    <t>Screenshot baseline 03-Sep-2026 (use live count on screen if different): AGRI - Agriculture (0) 0.00%</t>
  </si>
  <si>
    <t>Navigates to Agriculture related records with empty state / 0 records. Must not error, hang, or show the full unfiltered consumer list.</t>
  </si>
  <si>
    <t>GET /indore/dashboard/consumer/category-distribution?category=Agriculture  |  not in live API suite; empty-page contract exists only for Residential</t>
  </si>
  <si>
    <t>src/modules/DASHBOARD/tests/consumercategorydistribution.spec.ts  |  GAP: add category=Agriculture (expect total=0)</t>
  </si>
  <si>
    <t>IND-COV-0042</t>
  </si>
  <si>
    <t>SCH - School row / bar</t>
  </si>
  <si>
    <t>Click School category</t>
  </si>
  <si>
    <t>1. Login as Super Admin on https://indore.bestinfra.app
2. Open Dashboard → Consumer Overview
3. Confirm Default Dashboard is selected
4. Click 'SCH - School (11,950)' or the navy bar</t>
  </si>
  <si>
    <t>Screenshot baseline 03-Sep-2026 (use live count on screen if different): SCH - School (11,950) 9.45%</t>
  </si>
  <si>
    <t>Navigates to School related records. List total = 11,950 (or live). School is a first-class category on this widget even if other APIs omit it.</t>
  </si>
  <si>
    <t>GET /indore/dashboard/consumer/category-distribution?category=School  |  not in CONSUMER_CATEGORY_DISTRIBUTION_METRICS_KEY / live suite</t>
  </si>
  <si>
    <t>src/modules/DASHBOARD/tests/consumercategorydistribution.spec.ts  |  GAP: add category=School</t>
  </si>
  <si>
    <t>IND-COV-0043</t>
  </si>
  <si>
    <t>SLIGHT - Street Light row / bar</t>
  </si>
  <si>
    <t>Click Street Light (very small count)</t>
  </si>
  <si>
    <t>1. Login as Super Admin on https://indore.bestinfra.app
2. Open Dashboard → Consumer Overview
3. Confirm Default Dashboard is selected
4. Click 'SLIGHT - Street Light (7)' or the mauve bar</t>
  </si>
  <si>
    <t>Screenshot baseline 03-Sep-2026 (use live count on screen if different): SLIGHT - Street Light (7) 0.01%</t>
  </si>
  <si>
    <t>Navigates to Street Light related records. List total = 7 (or live). All rows are Street Light.</t>
  </si>
  <si>
    <t>GET /indore/dashboard/consumer/category-distribution?category=Street Light  |  mapped in metrics key but no live spec case</t>
  </si>
  <si>
    <t>src/modules/DASHBOARD/tests/consumercategorydistribution.spec.ts  |  GAP: add category=Street Light</t>
  </si>
  <si>
    <t>IND-COV-0044</t>
  </si>
  <si>
    <t>TEMP - Temporary row / bar</t>
  </si>
  <si>
    <t>Click Temporary category</t>
  </si>
  <si>
    <t>1. Login as Super Admin on https://indore.bestinfra.app
2. Open Dashboard → Consumer Overview
3. Confirm Default Dashboard is selected
4. Click 'TEMP - Temporary (1,567)' or the blue bar</t>
  </si>
  <si>
    <t>Screenshot baseline 03-Sep-2026 (use live count on screen if different): TEMP - Temporary (1,567) 1.24%</t>
  </si>
  <si>
    <t>Navigates to Temporary related records. List total = 1,567 (or live).</t>
  </si>
  <si>
    <t>GET /indore/dashboard/consumer/category-distribution?category=Temporary  |  mapped in metrics key but no live spec case</t>
  </si>
  <si>
    <t>src/modules/DASHBOARD/tests/consumercategorydistribution.spec.ts  |  GAP: add category=Temporary</t>
  </si>
  <si>
    <t>IND-COV-0045</t>
  </si>
  <si>
    <t>EV - Electric Vehicle row / bar</t>
  </si>
  <si>
    <t>Click Electric Vehicle (count 1)</t>
  </si>
  <si>
    <t>1. Login as Super Admin on https://indore.bestinfra.app
2. Open Dashboard → Consumer Overview
3. Confirm Default Dashboard is selected
4. Click 'EV - Electric Vehicle (1)' or the light-blue sliver</t>
  </si>
  <si>
    <t>Screenshot baseline 03-Sep-2026 (use live count on screen if different): EV - Electric Vehicle (1) 0.001%</t>
  </si>
  <si>
    <t>Navigates to EV related records. List total = 1. Exactly one row. Do not miss the click because the bar is tiny.</t>
  </si>
  <si>
    <t>GET /indore/dashboard/consumer/category-distribution?category=Electric Vehicle  |  metrics key is Electric Vehicle Charging Station</t>
  </si>
  <si>
    <t>src/modules/DASHBOARD/tests/consumercategorydistribution.spec.ts  |  GAP: add EV category live case</t>
  </si>
  <si>
    <t>IND-COV-0046</t>
  </si>
  <si>
    <t>UNKNOWN - Unknown row / bar</t>
  </si>
  <si>
    <t>Click Unknown when count is 0</t>
  </si>
  <si>
    <t>1. Login as Super Admin on https://indore.bestinfra.app
2. Open Dashboard → Consumer Overview
3. Confirm Default Dashboard is selected
4. Click 'UNKNOWN - Unknown (0)' or the grey empty bar</t>
  </si>
  <si>
    <t>Screenshot baseline 03-Sep-2026 (use live count on screen if different): UNKNOWN - Unknown (0) 0.00%</t>
  </si>
  <si>
    <t>Navigates to Unknown related records with empty state / 0 records. Must not error or show all consumers.</t>
  </si>
  <si>
    <t>GET /indore/dashboard/consumer/category-distribution?category=Unknown  |  not in live suite; zero-count empty list</t>
  </si>
  <si>
    <t>src/modules/DASHBOARD/tests/consumercategorydistribution.spec.ts  |  GAP: add category=Unknown (expect total=0)</t>
  </si>
  <si>
    <t>IND-COV-0047</t>
  </si>
  <si>
    <t>Percentage on a category row</t>
  </si>
  <si>
    <t>Click category percentage drills to that category</t>
  </si>
  <si>
    <t>1. Login as Super Admin on https://indore.bestinfra.app
2. Open Dashboard → Consumer Overview
3. Confirm Default Dashboard is selected
4. Click '71.61%' on the Residential row</t>
  </si>
  <si>
    <t>Percentage on RES row</t>
  </si>
  <si>
    <t>Opens Residential related records (same as clicking the RES label/bar). Percentage is not a dead label.</t>
  </si>
  <si>
    <t>Click category percentage</t>
  </si>
  <si>
    <t>8. DRILL-DOWN LIST BEHAVIOUR</t>
  </si>
  <si>
    <t>IND-COV-0048</t>
  </si>
  <si>
    <t>Drill-down list</t>
  </si>
  <si>
    <t>Any widget → list</t>
  </si>
  <si>
    <t>List shows applied filter matching the click</t>
  </si>
  <si>
    <t>1. Login as Super Admin on https://indore.bestinfra.app
2. Open Dashboard → Consumer Overview
3. Confirm Default Dashboard is selected
4. Click OEM L&amp;T
5. Observe page title, breadcrumb, chips, or active filter</t>
  </si>
  <si>
    <t>Clicked bucket: L&amp;T</t>
  </si>
  <si>
    <t>Destination clearly shows filter = L&amp;T (title, chip, or highlighted filter). User can tell they are not on the unfiltered list.</t>
  </si>
  <si>
    <t>Drilldown APIs return filtered rows; UI filter chip / title is UI</t>
  </si>
  <si>
    <t>connection-status / oem / phase / category specs</t>
  </si>
  <si>
    <t>IND-COV-0049</t>
  </si>
  <si>
    <t>Pagination total</t>
  </si>
  <si>
    <t>Pagination total equals the number clicked</t>
  </si>
  <si>
    <t>1. Login as Super Admin on https://indore.bestinfra.app
2. Open Dashboard → Consumer Overview
3. Confirm Default Dashboard is selected
4. Click Prepaid (count 8)
5. Read total / showing X of Y
6. Repeat with 3 PH 4 CT (293) and Svr Electricals (1)</t>
  </si>
  <si>
    <t>Compare card count vs list pagination.total</t>
  </si>
  <si>
    <t>List total = widget count for that click. Mismatch is a fail. For count 1, exactly one data row. For count 8, total 8.</t>
  </si>
  <si>
    <t>pagination.total on drilldown APIs must equal widget count (DB harness vs metrics)</t>
  </si>
  <si>
    <t>src/modules/DASHBOARD/tests/dashboard.db.spec.ts  |  npm run test:dashboard:db</t>
  </si>
  <si>
    <t>IND-COV-0050</t>
  </si>
  <si>
    <t>List columns</t>
  </si>
  <si>
    <t>Related records grid has usable consumer/meter columns</t>
  </si>
  <si>
    <t>1. Login as Super Admin on https://indore.bestinfra.app
2. Open Dashboard → Consumer Overview
3. Confirm Default Dashboard is selected
4. Click Consumers card
5. Inspect column headers</t>
  </si>
  <si>
    <t>Expected headers include: Sl.No., Consumer Name, Consumer Address, IVRS, Meter Sl No., Phase, Service Date (OEM list may also show Manufacturer, Lat, Lng; Relay list may show Connection Status)</t>
  </si>
  <si>
    <t>Grid loads with headers and at least one page of rows when count &gt; 0. No blank grid with a non-zero total.</t>
  </si>
  <si>
    <t>columns[] on drilldown APIs (Sl.No., Consumer Name, IVRS, Meter Sl No., …)</t>
  </si>
  <si>
    <t>All consumer *distribution / connection-status specs + contract snapshots</t>
  </si>
  <si>
    <t>IND-COV-0051</t>
  </si>
  <si>
    <t>Pagination controls</t>
  </si>
  <si>
    <t>Next page stays inside the same filter</t>
  </si>
  <si>
    <t>1. Login as Super Admin on https://indore.bestinfra.app
2. Open Dashboard → Consumer Overview
3. Confirm Default Dashboard is selected
4. Click Residential
5. Go to page 2 (or last page)
6. Confirm still Residential and total unchanged</t>
  </si>
  <si>
    <t>page=2 on Residential drill-down</t>
  </si>
  <si>
    <t>Page 2 still Residential only. Total unchanged. Sl.No. continues. No mix of other categories.</t>
  </si>
  <si>
    <t>page / limit echo on drilldown APIs</t>
  </si>
  <si>
    <t>Each *distribution.spec.ts  |  @edge page/limit</t>
  </si>
  <si>
    <t>IND-COV-0052</t>
  </si>
  <si>
    <t>In-page Back / breadcrumb</t>
  </si>
  <si>
    <t>In-app back returns to Consumer Overview</t>
  </si>
  <si>
    <t>1. Login as Super Admin on https://indore.bestinfra.app
2. Open Dashboard → Consumer Overview
3. Confirm Default Dashboard is selected
4. Click Commercial
5. Use in-app Back or breadcrumb Dashboard (not only browser Back)</t>
  </si>
  <si>
    <t>In-app navigation after drill-down</t>
  </si>
  <si>
    <t>Returns to Consumer Overview Default Dashboard. Widgets reload. Default Dashboard still selected.</t>
  </si>
  <si>
    <t>In-app Back / breadcrumb</t>
  </si>
  <si>
    <t>IND-COV-0053</t>
  </si>
  <si>
    <t>Open record from list</t>
  </si>
  <si>
    <t>A row in related records opens that consumer/meter</t>
  </si>
  <si>
    <t>1. Login as Super Admin on https://indore.bestinfra.app
2. Open Dashboard → Consumer Overview
3. Confirm Default Dashboard is selected
4. Click EV (count 1)
5. Click the single row</t>
  </si>
  <si>
    <t>EV related record row</t>
  </si>
  <si>
    <t>Opens that consumer/meter detail. Identity (IVRS / MSN) matches the list row. Not a dead row.</t>
  </si>
  <si>
    <t>Open a row → consumer/meter detail</t>
  </si>
  <si>
    <t>9. DOWNLOAD / EXPORT (MUST NOT NAVIGATE)</t>
  </si>
  <si>
    <t>IND-COV-0054</t>
  </si>
  <si>
    <t>Meter Status download exports and does not open records</t>
  </si>
  <si>
    <t>1. Login as Super Admin on https://indore.bestinfra.app
2. Open Dashboard → Consumer Overview
3. Confirm Default Dashboard is selected
4. Click the download icon on Meter Status (top-right of the card)
5. Confirm file vs navigation</t>
  </si>
  <si>
    <t>Download icon on Meter Status card</t>
  </si>
  <si>
    <t>File download starts (xlsx/csv/png as designed). URL stays on Consumer Overview. Related-records list does not open.</t>
  </si>
  <si>
    <t>Meter Status download — no export API in DASHBOARD module</t>
  </si>
  <si>
    <t>IND-COV-0055</t>
  </si>
  <si>
    <t>OEM Distribution download does not navigate</t>
  </si>
  <si>
    <t>1. Login as Super Admin on https://indore.bestinfra.app
2. Open Dashboard → Consumer Overview
3. Confirm Default Dashboard is selected
4. Click OEM Distribution download icon</t>
  </si>
  <si>
    <t>Download icon on OEM card</t>
  </si>
  <si>
    <t>Export only. Stay on Consumer Overview. File contains OEM breakdown (L&amp;T, Linkwell, Svr Electricals).</t>
  </si>
  <si>
    <t>OEM download</t>
  </si>
  <si>
    <t>IND-COV-0056</t>
  </si>
  <si>
    <t>Relay Status download does not navigate</t>
  </si>
  <si>
    <t>1. Login as Super Admin on https://indore.bestinfra.app
2. Open Dashboard → Consumer Overview
3. Confirm Default Dashboard is selected
4. Click Relay Status Overview download icon</t>
  </si>
  <si>
    <t>Download icon on Relay card</t>
  </si>
  <si>
    <t>Export only. Stay on Consumer Overview.</t>
  </si>
  <si>
    <t>Relay download</t>
  </si>
  <si>
    <t>IND-COV-0057</t>
  </si>
  <si>
    <t>Phase Distribution download does not navigate</t>
  </si>
  <si>
    <t>1. Login as Super Admin on https://indore.bestinfra.app
2. Open Dashboard → Consumer Overview
3. Confirm Default Dashboard is selected
4. Click Phase Distribution download icon</t>
  </si>
  <si>
    <t>Download icon on Phase card</t>
  </si>
  <si>
    <t>Phase download</t>
  </si>
  <si>
    <t>IND-COV-0058</t>
  </si>
  <si>
    <t>Category Distribution download does not navigate</t>
  </si>
  <si>
    <t>1. Login as Super Admin on https://indore.bestinfra.app
2. Open Dashboard → Consumer Overview
3. Confirm Default Dashboard is selected
4. Click Category Distribution download icon</t>
  </si>
  <si>
    <t>Download icon on Category card</t>
  </si>
  <si>
    <t>Export only. Stay on Consumer Overview. File includes all 9 categories including 0-count AGRI and UNKNOWN.</t>
  </si>
  <si>
    <t>Category download</t>
  </si>
  <si>
    <t>10. DEFAULT DASHBOARD vs LIVE COMMUNICATION</t>
  </si>
  <si>
    <t>IND-COV-0059</t>
  </si>
  <si>
    <t>Live Communication button</t>
  </si>
  <si>
    <t>Switch to Live Communication then back</t>
  </si>
  <si>
    <t>1. Login as Super Admin on https://indore.bestinfra.app
2. Open Dashboard → Consumer Overview
3. Confirm Default Dashboard is selected
4. Click Live Communication
5. Observe widgets change
6. Click Default Dashboard again
7. Confirm Consumer Overview widgets return</t>
  </si>
  <si>
    <t>Header toggle Default Dashboard | Live Communication</t>
  </si>
  <si>
    <t>Live Communication view loads (different widgets/data as designed). Default Dashboard restores Consumers, Meter Status, OEM, Relay, Phase, Category. No broken layout.</t>
  </si>
  <si>
    <t>Default Dashboard ↔ Live Communication toggle</t>
  </si>
  <si>
    <t>IND-COV-0060</t>
  </si>
  <si>
    <t>Live Communication widgets</t>
  </si>
  <si>
    <t>Click-through rule still applies on Live Communication (if cards exist)</t>
  </si>
  <si>
    <t>1. Login as Super Admin on https://indore.bestinfra.app
2. Open Dashboard → Consumer Overview
3. Confirm Default Dashboard is selected
4. Click Live Communication
5. Click each visible KPI/card/graph
6. Confirm related records open</t>
  </si>
  <si>
    <t>Live Communication view — apply same onclick rule</t>
  </si>
  <si>
    <t>Every card/graph on Live Communication also opens related records for that bucket. If a widget is display-only, mark N/A with comment; if click does nothing on a count widget, fail.</t>
  </si>
  <si>
    <t>Live Communication may use GET /indore/dashboard/dtr/communication-status — different module widgets</t>
  </si>
  <si>
    <t>src/modules/DASHBOARD/tests/dtrcommunication.spec.ts</t>
  </si>
  <si>
    <t>11. DATA CONSISTENCY (USE LIVE COUNTS)</t>
  </si>
  <si>
    <t>KPI math</t>
  </si>
  <si>
    <t>Consumers vs Postpaid + Prepaid</t>
  </si>
  <si>
    <t>Postpaid + Prepaid equals Consumers</t>
  </si>
  <si>
    <t>1. Login as Super Admin on https://indore.bestinfra.app
2. Open Dashboard → Consumer Overview
3. Confirm Default Dashboard is selected
4. Read Consumers, Postpaid, Prepaid
5. Add Postpaid + Prepaid</t>
  </si>
  <si>
    <t>Screenshot baseline 03-Sep-2026 (use live count on screen if different): 126,474 + 8 = 126,482</t>
  </si>
  <si>
    <t>Postpaid + Prepaid = Consumers. Any gap is a fail. Net Metering is a subset and must not be added on top.</t>
  </si>
  <si>
    <t>GET /indore/dashboard/consumer/metrics  assert postpaid.count + prepaid.count = totalConsumers.count</t>
  </si>
  <si>
    <t>src/modules/DASHBOARD/tests/dashboardmetrics.spec.ts  |  npm run test:dashboard  |  add explicit sum assert if not already in validator</t>
  </si>
  <si>
    <t>IND-COV-0062</t>
  </si>
  <si>
    <t>Meter Status math</t>
  </si>
  <si>
    <t>Communicating + Non-Communicating</t>
  </si>
  <si>
    <t>Meter Status parts sum to center total</t>
  </si>
  <si>
    <t>1. Login as Super Admin on https://indore.bestinfra.app
2. Open Dashboard → Consumer Overview
3. Confirm Default Dashboard is selected
4. Add Communicating + Non-Communicating
5. Compare to center Total</t>
  </si>
  <si>
    <t>Screenshot baseline 03-Sep-2026 (use live count on screen if different): one capture 1+126,481=126,482; another 0+126,482=126,482</t>
  </si>
  <si>
    <t>Communicating + Non-Communicating = center Total = Consumers KPI. Percentages add to ~100% (rounding ±0.01 allowed).</t>
  </si>
  <si>
    <t>Meter Status Communicating + Non-Communicating = Total — no consumer dashboard comm API</t>
  </si>
  <si>
    <t>IND-COV-0063</t>
  </si>
  <si>
    <t>OEM math</t>
  </si>
  <si>
    <t>OEM legend sum</t>
  </si>
  <si>
    <t>OEM counts sum to Total Meters</t>
  </si>
  <si>
    <t>1. Login as Super Admin on https://indore.bestinfra.app
2. Open Dashboard → Consumer Overview
3. Confirm Default Dashboard is selected
4. Add L&amp;T + Linkwell Telesystems + Svr Electricals</t>
  </si>
  <si>
    <t>Screenshot baseline 03-Sep-2026 (use live count on screen if different): 111,424 + 15,057 + 1 = 126,482</t>
  </si>
  <si>
    <t>OEM counts sum to OEM center total and to Consumers KPI. Percentages add to ~100%.</t>
  </si>
  <si>
    <t>GET /indore/dashboard/consumer/metrics oemWiseConsumer + GET /indore/dashboard/consumer/oem-distribution?oem= pagination.total vs metrics</t>
  </si>
  <si>
    <t>src/modules/DASHBOARD/tests/dashboard.db.spec.ts  |  npm run test:dashboard:db  |  consumer-oem-distribution vs metrics</t>
  </si>
  <si>
    <t>Relay math</t>
  </si>
  <si>
    <t>Connected + Disconnected vs Total</t>
  </si>
  <si>
    <t>Relay parts should equal Total Meters — check the gap</t>
  </si>
  <si>
    <t>1. Login as Super Admin on https://indore.bestinfra.app
2. Open Dashboard → Consumer Overview
3. Confirm Default Dashboard is selected
4. Add Connected + Disconnected
5. Compare to Relay center total and Consumers KPI</t>
  </si>
  <si>
    <t>Screenshot baseline 03-Sep-2026 (use live count on screen if different): 122,639 + 3,838 = 126,477 vs Total 126,482 (gap 5)</t>
  </si>
  <si>
    <t>Connected + Disconnected should equal Total Meters / Consumers. If a gap remains (screenshot had 5), fail and log defect. Check whether Permanently Disconnected is omitted from the donut.</t>
  </si>
  <si>
    <t>GET /indore/dashboard/consumer/connection-status?status=connected|disconnected  vs  metrics.connectionStatus  |  screenshot gap of 5</t>
  </si>
  <si>
    <t>src/modules/DASHBOARD/tests/dashboard.db.spec.ts  |  npm run test:dashboard:db  |  src/modules/DASHBOARD/tests/consumerconnectionstatus.spec.ts  |  also permanently-disconnected</t>
  </si>
  <si>
    <t>IND-COV-0065</t>
  </si>
  <si>
    <t>Phase math</t>
  </si>
  <si>
    <t>Phase legend sum</t>
  </si>
  <si>
    <t>Phase counts sum to Total Meters</t>
  </si>
  <si>
    <t>1. Login as Super Admin on https://indore.bestinfra.app
2. Open Dashboard → Consumer Overview
3. Confirm Default Dashboard is selected
4. Add 1 PH + 3 PH WC + 3 PH 4 CT</t>
  </si>
  <si>
    <t>Screenshot baseline 03-Sep-2026 (use live count on screen if different): 113,561 + 12,628 + 293 = 126,482</t>
  </si>
  <si>
    <t>Phase counts sum to center total. If HT exists in data but is missing from the widget, log as coverage gap / defect.</t>
  </si>
  <si>
    <t>GET /indore/dashboard/consumer/phase-distribution?phase= + metrics.phaseWiseConsumer</t>
  </si>
  <si>
    <t>IND-COV-0066</t>
  </si>
  <si>
    <t>Category math</t>
  </si>
  <si>
    <t>All category counts</t>
  </si>
  <si>
    <t>Category counts sum to Consumers</t>
  </si>
  <si>
    <t>1. Login as Super Admin on https://indore.bestinfra.app
2. Open Dashboard → Consumer Overview
3. Confirm Default Dashboard is selected
4. Add all 9 Category Distribution counts</t>
  </si>
  <si>
    <t>Screenshot baseline 03-Sep-2026 (use live count on screen if different): 90,580+21,196+1,181+0+11,950+7+1,567+1+0 = 126,482</t>
  </si>
  <si>
    <t>Category counts sum to Consumers KPI. Percentages add to ~100% (0.001% EV rounding allowed).</t>
  </si>
  <si>
    <t>GET /indore/dashboard/consumer/category-distribution?category= live suite is RES/COM/IND only; UI also has SCH/AGRI/SLIGHT/TEMP/EV/UNKNOWN</t>
  </si>
  <si>
    <t>src/modules/DASHBOARD/tests/dashboard.db.spec.ts  |  npm run test:dashboard:db  |  categorySum covers mapped keys only</t>
  </si>
  <si>
    <t>IND-COV-0067</t>
  </si>
  <si>
    <t>MoM trend</t>
  </si>
  <si>
    <t>KPI trend text</t>
  </si>
  <si>
    <t>MoM text colour and sign match the change</t>
  </si>
  <si>
    <t>1. Login as Super Admin on https://indore.bestinfra.app
2. Open Dashboard → Consumer Overview
3. Confirm Default Dashboard is selected
4. Read all four KPI trend lines</t>
  </si>
  <si>
    <t>Screenshot baseline 03-Sep-2026 (use live count on screen if different): Consumers -2158 red; Postpaid -2158 red; Prepaid 0 blue; Net Metering -2 red</t>
  </si>
  <si>
    <t>Negative change uses decrease wording and red/pink. Zero change uses 'No Change' and non-red. Sparkline direction is consistent with the text. Do not fail on live numbers differing from screenshot.</t>
  </si>
  <si>
    <t>GET /indore/dashboard/consumer/metrics → consumerType.*.trend / sparkline / direction</t>
  </si>
  <si>
    <t>IND-COV-0068</t>
  </si>
  <si>
    <t>Cross-widget total</t>
  </si>
  <si>
    <t>All center totals</t>
  </si>
  <si>
    <t>Meter Status, OEM, Relay, Phase totals match Consumers</t>
  </si>
  <si>
    <t>1. Login as Super Admin on https://indore.bestinfra.app
2. Open Dashboard → Consumer Overview
3. Confirm Default Dashboard is selected
4. Compare Consumers KPI with each donut center total</t>
  </si>
  <si>
    <t>All should equal the same live Consumers count</t>
  </si>
  <si>
    <t>Consumers = Meter Status Total = OEM Total Meters = Relay Total Meters = Phase Total Meters. Any widget showing a different total is a fail.</t>
  </si>
  <si>
    <t>GET /indore/dashboard/consumer/metrics totalMeterCount / totalConsumers vs each drilldown sum</t>
  </si>
  <si>
    <t>12. EDGE / NEGATIVE CLICK BEHAVIOUR</t>
  </si>
  <si>
    <t>IND-COV-0069</t>
  </si>
  <si>
    <t>Click-through</t>
  </si>
  <si>
    <t>Double-click a KPI card</t>
  </si>
  <si>
    <t>Double-click does not open two lists or break the page</t>
  </si>
  <si>
    <t>1. Login as Super Admin on https://indore.bestinfra.app
2. Open Dashboard → Consumer Overview
3. Confirm Default Dashboard is selected
4. Double-click Postpaid Connections quickly</t>
  </si>
  <si>
    <t>Double-click on Postpaid card</t>
  </si>
  <si>
    <t>One related-records navigation (or single list). No duplicate tabs/errors/blank page.</t>
  </si>
  <si>
    <t>Double-click KPI</t>
  </si>
  <si>
    <t>IND-COV-0070</t>
  </si>
  <si>
    <t>Download vs chart body</t>
  </si>
  <si>
    <t>Clicking download is not treated as chart drill-down</t>
  </si>
  <si>
    <t>1. Login as Super Admin on https://indore.bestinfra.app
2. Open Dashboard → Consumer Overview
3. Confirm Default Dashboard is selected
4. Click only the download icon on OEM (not the donut)
5. Confirm no list navigation</t>
  </si>
  <si>
    <t>Hit area: download icon vs donut</t>
  </si>
  <si>
    <t>Download click never opens related records. Chart/legend clicks never start a download.</t>
  </si>
  <si>
    <t>Download hit-area vs donut</t>
  </si>
  <si>
    <t>IND-COV-0071</t>
  </si>
  <si>
    <t>Zero count</t>
  </si>
  <si>
    <t>Zero-count category</t>
  </si>
  <si>
    <t>Zero-count click does not show unfiltered 126k list</t>
  </si>
  <si>
    <t>1. Login as Super Admin on https://indore.bestinfra.app
2. Open Dashboard → Consumer Overview
3. Confirm Default Dashboard is selected
4. Click AGRI (0) and UNKNOWN (0)
5. Read list total</t>
  </si>
  <si>
    <t>AGRI = 0, UNKNOWN = 0</t>
  </si>
  <si>
    <t>Total on destination is 0 for both. Showing thousands of unfiltered rows is a fail.</t>
  </si>
  <si>
    <t>GET /indore/dashboard/consumer/category-distribution?category=Agriculture|Unknown empty total=0 — do not return unfiltered list</t>
  </si>
  <si>
    <t>src/modules/DASHBOARD/tests/consumercategorydistribution.spec.ts  |  contract empty page exists for Residential only</t>
  </si>
  <si>
    <t>IND-COV-0072</t>
  </si>
  <si>
    <t>Tiny slice</t>
  </si>
  <si>
    <t>Hard-to-hit donut sliver</t>
  </si>
  <si>
    <t>Legend remains a reliable click target when slice is tiny</t>
  </si>
  <si>
    <t>1. Login as Super Admin on https://indore.bestinfra.app
2. Open Dashboard → Consumer Overview
3. Confirm Default Dashboard is selected
4. Try Svr Electricals sliver, 3 PH 4 CT sliver, Communicating sliver
5. If sliver misses, use legend</t>
  </si>
  <si>
    <t>Tiny slices: Svr Electricals, 3 PH 4 CT, Communicating</t>
  </si>
  <si>
    <t>Legend row always works even if the sliver is nearly invisible. Document if sliver itself is unclickable.</t>
  </si>
  <si>
    <t>Tiny donut sliver vs legend</t>
  </si>
  <si>
    <t>IND-COV-0073</t>
  </si>
  <si>
    <t>Session</t>
  </si>
  <si>
    <t>Click after idle</t>
  </si>
  <si>
    <t>Click still navigates after staying on the page</t>
  </si>
  <si>
    <t>1. Login as Super Admin on https://indore.bestinfra.app
2. Open Dashboard → Consumer Overview
3. Confirm Default Dashboard is selected
4. Wait ~2 minutes on Consumer Overview
5. Click Prepaid card</t>
  </si>
  <si>
    <t>Idle then click</t>
  </si>
  <si>
    <t>Related records still open (or a clear session-expiry login, not a silent dead click).</t>
  </si>
  <si>
    <t>Auth/session — DASHBOARD auth-negative specs (401/invalid token)</t>
  </si>
  <si>
    <t>Each consumer *spec.ts Auth Negative describe</t>
  </si>
  <si>
    <t>IND-COV-0074</t>
  </si>
  <si>
    <t>Every widget once (smoke)</t>
  </si>
  <si>
    <t>Smoke: one click per widget reaches related records</t>
  </si>
  <si>
    <t>1. Login as Super Admin on https://indore.bestinfra.app
2. Open Dashboard → Consumer Overview
3. Confirm Default Dashboard is selected
4. Click in order: Consumers, Postpaid, Prepaid, Net Metering, Meter Status Non-Communicating, OEM L&amp;T, Relay Connected, Phase 1 PH, Category RES
5. After each click, Back, then next</t>
  </si>
  <si>
    <t>Nine widgets, one click each</t>
  </si>
  <si>
    <t>All nine open a related-records view. Any widget that does nothing is a fail against the onclick rule.</t>
  </si>
  <si>
    <t>Smoke click every widget — Playwright UI gap</t>
  </si>
  <si>
    <t>KPI</t>
  </si>
  <si>
    <t>MoM text</t>
  </si>
  <si>
    <t>Check</t>
  </si>
  <si>
    <t>Active consumers decreased by -2158 vs Last Month</t>
  </si>
  <si>
    <t>Master total</t>
  </si>
  <si>
    <t>Decreased by -2158 vs Last Month</t>
  </si>
  <si>
    <t>Subset</t>
  </si>
  <si>
    <t>No Change 0 vs Last Month</t>
  </si>
  <si>
    <t>Decreased by -2 vs Last Month</t>
  </si>
  <si>
    <t>Subset (do not add)</t>
  </si>
  <si>
    <t>Postpaid + Prepaid</t>
  </si>
  <si>
    <t>Must equal Consumers (B5)</t>
  </si>
  <si>
    <t>Bucket</t>
  </si>
  <si>
    <t>%</t>
  </si>
  <si>
    <t>Click filter</t>
  </si>
  <si>
    <t>communicating</t>
  </si>
  <si>
    <t>non-communicating</t>
  </si>
  <si>
    <t>all meters</t>
  </si>
  <si>
    <t>Communicating + Non-Comm</t>
  </si>
  <si>
    <t>Must equal center total B16</t>
  </si>
  <si>
    <t>OEM</t>
  </si>
  <si>
    <t>all OEMs</t>
  </si>
  <si>
    <t>OEM sum</t>
  </si>
  <si>
    <t>Must equal B24</t>
  </si>
  <si>
    <t>connected</t>
  </si>
  <si>
    <t>disconnected</t>
  </si>
  <si>
    <t>all</t>
  </si>
  <si>
    <t>Connected + Disconnected</t>
  </si>
  <si>
    <t>Screenshot gap vs B31 — fail if not equal</t>
  </si>
  <si>
    <t>Phase</t>
  </si>
  <si>
    <t>all phases</t>
  </si>
  <si>
    <t>Phase sum</t>
  </si>
  <si>
    <t>Must equal B39</t>
  </si>
  <si>
    <t>Residential</t>
  </si>
  <si>
    <t>Commercial</t>
  </si>
  <si>
    <t>Industrial</t>
  </si>
  <si>
    <t>Agriculture</t>
  </si>
  <si>
    <t>School</t>
  </si>
  <si>
    <t>Street Light</t>
  </si>
  <si>
    <t>Temporary</t>
  </si>
  <si>
    <t>Electric Vehicle</t>
  </si>
  <si>
    <t>Unknown</t>
  </si>
  <si>
    <t>Category sum</t>
  </si>
  <si>
    <t>Must equal Consumers B5</t>
  </si>
  <si>
    <t>Baseline 05-Sep-2026 — use live UI counts at execution; this sheet is the audit reference</t>
  </si>
  <si>
    <t>Sl No</t>
  </si>
  <si>
    <t>Module / Screen</t>
  </si>
  <si>
    <t>Issue Description</t>
  </si>
  <si>
    <t>Steps to Reproduce</t>
  </si>
  <si>
    <t>Severity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</si>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</sst>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color rgb="FF000000"/>
      <name val="Calibri"/>
    </font>
    <font>
      <b/>
      <sz val="16"/>
      <color rgb="FFFFFFFF"/>
      <name val="Calibri"/>
    </font>
    <font>
      <b/>
      <sz val="1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0F6E6E"/>
      </patternFill>
    </fill>
    <fill>
      <patternFill patternType="solid">
        <fgColor rgb="FFF2F7FB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C7CE"/>
      </patternFill>
    </fill>
    <fill>
      <patternFill patternType="solid">
        <fgColor rgb="FF7A1F1F"/>
        <bgColor rgb="FF7A1F1F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3" fontId="2" fillId="9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vertical="center" wrapText="1"/>
    </xf>
    <xf numFmtId="3" fontId="2" fillId="9" borderId="1" xfId="0" applyNumberFormat="1" applyFont="1" applyFill="1" applyBorder="1" applyAlignment="1">
      <alignment vertical="center" wrapText="1"/>
    </xf>
    <xf numFmtId="165" fontId="2" fillId="9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1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ill>
        <patternFill patternType="solid">
          <bgColor rgb="FFF2F2F2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4"/>
  <sheetViews>
    <sheetView showGridLines="0" workbookViewId="0">
      <selection activeCell="M9" sqref="M9"/>
    </sheetView>
  </sheetViews>
  <sheetFormatPr defaultRowHeight="14.4" x14ac:dyDescent="0.3"/>
  <cols>
    <col min="1" max="1" width="28" customWidth="1"/>
    <col min="2" max="2" width="22" customWidth="1"/>
    <col min="3" max="7" width="18" customWidth="1"/>
  </cols>
  <sheetData>
    <row r="1" spans="1:7" ht="31.95" customHeight="1" x14ac:dyDescent="0.3">
      <c r="A1" s="34" t="s">
        <v>0</v>
      </c>
      <c r="B1" s="34"/>
      <c r="C1" s="34"/>
      <c r="D1" s="34"/>
      <c r="E1" s="34"/>
      <c r="F1" s="34"/>
      <c r="G1" s="34"/>
    </row>
    <row r="2" spans="1:7" ht="22.05" customHeight="1" x14ac:dyDescent="0.3">
      <c r="A2" s="35" t="s">
        <v>1</v>
      </c>
      <c r="B2" s="35"/>
      <c r="C2" s="35"/>
      <c r="D2" s="35"/>
      <c r="E2" s="35"/>
      <c r="F2" s="35"/>
      <c r="G2" s="35"/>
    </row>
    <row r="4" spans="1:7" ht="22.05" customHeight="1" x14ac:dyDescent="0.3">
      <c r="A4" s="1" t="s">
        <v>2</v>
      </c>
      <c r="B4" s="33" t="s">
        <v>3</v>
      </c>
      <c r="C4" s="33"/>
      <c r="D4" s="33"/>
      <c r="E4" s="33"/>
      <c r="F4" s="33"/>
      <c r="G4" s="33"/>
    </row>
    <row r="5" spans="1:7" ht="36" customHeight="1" x14ac:dyDescent="0.3">
      <c r="A5" s="2" t="s">
        <v>4</v>
      </c>
      <c r="B5" s="30" t="s">
        <v>5</v>
      </c>
      <c r="C5" s="30"/>
      <c r="D5" s="30"/>
      <c r="E5" s="30"/>
      <c r="F5" s="30"/>
      <c r="G5" s="30"/>
    </row>
    <row r="6" spans="1:7" ht="36" customHeight="1" x14ac:dyDescent="0.3">
      <c r="A6" s="2" t="s">
        <v>6</v>
      </c>
      <c r="B6" s="30" t="s">
        <v>7</v>
      </c>
      <c r="C6" s="30"/>
      <c r="D6" s="30"/>
      <c r="E6" s="30"/>
      <c r="F6" s="30"/>
      <c r="G6" s="30"/>
    </row>
    <row r="7" spans="1:7" ht="36" customHeight="1" x14ac:dyDescent="0.3">
      <c r="A7" s="2" t="s">
        <v>8</v>
      </c>
      <c r="B7" s="30" t="s">
        <v>9</v>
      </c>
      <c r="C7" s="30"/>
      <c r="D7" s="30"/>
      <c r="E7" s="30"/>
      <c r="F7" s="30"/>
      <c r="G7" s="30"/>
    </row>
    <row r="8" spans="1:7" ht="36" customHeight="1" x14ac:dyDescent="0.3">
      <c r="A8" s="2" t="s">
        <v>10</v>
      </c>
      <c r="B8" s="30" t="s">
        <v>11</v>
      </c>
      <c r="C8" s="30"/>
      <c r="D8" s="30"/>
      <c r="E8" s="30"/>
      <c r="F8" s="30"/>
      <c r="G8" s="30"/>
    </row>
    <row r="9" spans="1:7" ht="36" customHeight="1" x14ac:dyDescent="0.3">
      <c r="A9" s="2" t="s">
        <v>12</v>
      </c>
      <c r="B9" s="30" t="s">
        <v>13</v>
      </c>
      <c r="C9" s="30"/>
      <c r="D9" s="30"/>
      <c r="E9" s="30"/>
      <c r="F9" s="30"/>
      <c r="G9" s="30"/>
    </row>
    <row r="10" spans="1:7" ht="36" customHeight="1" x14ac:dyDescent="0.3">
      <c r="A10" s="2" t="s">
        <v>14</v>
      </c>
      <c r="B10" s="30">
        <v>74</v>
      </c>
      <c r="C10" s="30"/>
      <c r="D10" s="30"/>
      <c r="E10" s="30"/>
      <c r="F10" s="30"/>
      <c r="G10" s="30"/>
    </row>
    <row r="11" spans="1:7" ht="36" customHeight="1" x14ac:dyDescent="0.3">
      <c r="A11" s="2" t="s">
        <v>15</v>
      </c>
      <c r="B11" s="30" t="s">
        <v>16</v>
      </c>
      <c r="C11" s="30"/>
      <c r="D11" s="30"/>
      <c r="E11" s="30"/>
      <c r="F11" s="30"/>
      <c r="G11" s="30"/>
    </row>
    <row r="12" spans="1:7" ht="36" customHeight="1" x14ac:dyDescent="0.3">
      <c r="A12" s="2" t="s">
        <v>17</v>
      </c>
      <c r="B12" s="30" t="s">
        <v>18</v>
      </c>
      <c r="C12" s="30"/>
      <c r="D12" s="30"/>
      <c r="E12" s="30"/>
      <c r="F12" s="30"/>
      <c r="G12" s="30"/>
    </row>
    <row r="13" spans="1:7" ht="36" customHeight="1" x14ac:dyDescent="0.3">
      <c r="A13" s="2" t="s">
        <v>19</v>
      </c>
      <c r="B13" s="30" t="s">
        <v>20</v>
      </c>
      <c r="C13" s="30"/>
      <c r="D13" s="30"/>
      <c r="E13" s="30"/>
      <c r="F13" s="30"/>
      <c r="G13" s="30"/>
    </row>
    <row r="15" spans="1:7" ht="22.05" customHeight="1" x14ac:dyDescent="0.3">
      <c r="A15" s="32" t="s">
        <v>21</v>
      </c>
      <c r="B15" s="32"/>
      <c r="C15" s="32"/>
      <c r="D15" s="32"/>
      <c r="E15" s="32"/>
      <c r="F15" s="32"/>
      <c r="G15" s="32"/>
    </row>
    <row r="16" spans="1:7" ht="28.05" customHeight="1" x14ac:dyDescent="0.3">
      <c r="A16" s="31" t="s">
        <v>22</v>
      </c>
      <c r="B16" s="31"/>
      <c r="C16" s="31"/>
      <c r="D16" s="31"/>
      <c r="E16" s="31"/>
      <c r="F16" s="31"/>
      <c r="G16" s="31"/>
    </row>
    <row r="17" spans="1:7" ht="28.05" customHeight="1" x14ac:dyDescent="0.3">
      <c r="A17" s="30" t="s">
        <v>23</v>
      </c>
      <c r="B17" s="30"/>
      <c r="C17" s="30"/>
      <c r="D17" s="30"/>
      <c r="E17" s="30"/>
      <c r="F17" s="30"/>
      <c r="G17" s="30"/>
    </row>
    <row r="18" spans="1:7" ht="28.05" customHeight="1" x14ac:dyDescent="0.3">
      <c r="A18" s="31" t="s">
        <v>24</v>
      </c>
      <c r="B18" s="31"/>
      <c r="C18" s="31"/>
      <c r="D18" s="31"/>
      <c r="E18" s="31"/>
      <c r="F18" s="31"/>
      <c r="G18" s="31"/>
    </row>
    <row r="19" spans="1:7" ht="28.05" customHeight="1" x14ac:dyDescent="0.3">
      <c r="A19" s="30" t="s">
        <v>25</v>
      </c>
      <c r="B19" s="30"/>
      <c r="C19" s="30"/>
      <c r="D19" s="30"/>
      <c r="E19" s="30"/>
      <c r="F19" s="30"/>
      <c r="G19" s="30"/>
    </row>
    <row r="20" spans="1:7" ht="28.05" customHeight="1" x14ac:dyDescent="0.3">
      <c r="A20" s="31" t="s">
        <v>26</v>
      </c>
      <c r="B20" s="31"/>
      <c r="C20" s="31"/>
      <c r="D20" s="31"/>
      <c r="E20" s="31"/>
      <c r="F20" s="31"/>
      <c r="G20" s="31"/>
    </row>
    <row r="21" spans="1:7" ht="28.05" customHeight="1" x14ac:dyDescent="0.3">
      <c r="A21" s="30" t="s">
        <v>27</v>
      </c>
      <c r="B21" s="30"/>
      <c r="C21" s="30"/>
      <c r="D21" s="30"/>
      <c r="E21" s="30"/>
      <c r="F21" s="30"/>
      <c r="G21" s="30"/>
    </row>
    <row r="22" spans="1:7" ht="28.05" customHeight="1" x14ac:dyDescent="0.3">
      <c r="A22" s="31" t="s">
        <v>28</v>
      </c>
      <c r="B22" s="31"/>
      <c r="C22" s="31"/>
      <c r="D22" s="31"/>
      <c r="E22" s="31"/>
      <c r="F22" s="31"/>
      <c r="G22" s="31"/>
    </row>
    <row r="24" spans="1:7" x14ac:dyDescent="0.3">
      <c r="A24" s="32" t="s">
        <v>29</v>
      </c>
      <c r="B24" s="32"/>
      <c r="C24" s="32"/>
      <c r="D24" s="32"/>
      <c r="E24" s="32"/>
      <c r="F24" s="32"/>
      <c r="G24" s="32"/>
    </row>
    <row r="25" spans="1:7" ht="22.05" customHeight="1" x14ac:dyDescent="0.3">
      <c r="A25" s="1" t="s">
        <v>30</v>
      </c>
      <c r="B25" s="1" t="s">
        <v>31</v>
      </c>
      <c r="C25" s="33" t="s">
        <v>32</v>
      </c>
      <c r="D25" s="33"/>
      <c r="E25" s="33"/>
      <c r="F25" s="33"/>
      <c r="G25" s="33"/>
    </row>
    <row r="26" spans="1:7" ht="22.05" customHeight="1" x14ac:dyDescent="0.3">
      <c r="A26" s="3" t="s">
        <v>33</v>
      </c>
      <c r="B26" s="3" t="s">
        <v>34</v>
      </c>
      <c r="C26" s="30" t="s">
        <v>35</v>
      </c>
      <c r="D26" s="30"/>
      <c r="E26" s="30"/>
      <c r="F26" s="30"/>
      <c r="G26" s="30"/>
    </row>
    <row r="27" spans="1:7" ht="22.05" customHeight="1" x14ac:dyDescent="0.3">
      <c r="A27" s="4" t="s">
        <v>36</v>
      </c>
      <c r="B27" s="4" t="s">
        <v>34</v>
      </c>
      <c r="C27" s="31" t="s">
        <v>37</v>
      </c>
      <c r="D27" s="31"/>
      <c r="E27" s="31"/>
      <c r="F27" s="31"/>
      <c r="G27" s="31"/>
    </row>
    <row r="28" spans="1:7" ht="22.05" customHeight="1" x14ac:dyDescent="0.3">
      <c r="A28" s="3" t="s">
        <v>38</v>
      </c>
      <c r="B28" s="3" t="s">
        <v>34</v>
      </c>
      <c r="C28" s="30" t="s">
        <v>39</v>
      </c>
      <c r="D28" s="30"/>
      <c r="E28" s="30"/>
      <c r="F28" s="30"/>
      <c r="G28" s="30"/>
    </row>
    <row r="29" spans="1:7" ht="22.05" customHeight="1" x14ac:dyDescent="0.3">
      <c r="A29" s="4" t="s">
        <v>40</v>
      </c>
      <c r="B29" s="4" t="s">
        <v>34</v>
      </c>
      <c r="C29" s="31" t="s">
        <v>41</v>
      </c>
      <c r="D29" s="31"/>
      <c r="E29" s="31"/>
      <c r="F29" s="31"/>
      <c r="G29" s="31"/>
    </row>
    <row r="30" spans="1:7" ht="22.05" customHeight="1" x14ac:dyDescent="0.3">
      <c r="A30" s="3" t="s">
        <v>42</v>
      </c>
      <c r="B30" s="3" t="s">
        <v>43</v>
      </c>
      <c r="C30" s="30" t="s">
        <v>44</v>
      </c>
      <c r="D30" s="30"/>
      <c r="E30" s="30"/>
      <c r="F30" s="30"/>
      <c r="G30" s="30"/>
    </row>
    <row r="31" spans="1:7" ht="22.05" customHeight="1" x14ac:dyDescent="0.3">
      <c r="A31" s="4" t="s">
        <v>45</v>
      </c>
      <c r="B31" s="4" t="s">
        <v>43</v>
      </c>
      <c r="C31" s="31" t="s">
        <v>46</v>
      </c>
      <c r="D31" s="31"/>
      <c r="E31" s="31"/>
      <c r="F31" s="31"/>
      <c r="G31" s="31"/>
    </row>
    <row r="32" spans="1:7" ht="22.05" customHeight="1" x14ac:dyDescent="0.3">
      <c r="A32" s="3" t="s">
        <v>47</v>
      </c>
      <c r="B32" s="3" t="s">
        <v>43</v>
      </c>
      <c r="C32" s="30" t="s">
        <v>48</v>
      </c>
      <c r="D32" s="30"/>
      <c r="E32" s="30"/>
      <c r="F32" s="30"/>
      <c r="G32" s="30"/>
    </row>
    <row r="33" spans="1:7" ht="22.05" customHeight="1" x14ac:dyDescent="0.3">
      <c r="A33" s="4" t="s">
        <v>49</v>
      </c>
      <c r="B33" s="4" t="s">
        <v>43</v>
      </c>
      <c r="C33" s="31" t="s">
        <v>50</v>
      </c>
      <c r="D33" s="31"/>
      <c r="E33" s="31"/>
      <c r="F33" s="31"/>
      <c r="G33" s="31"/>
    </row>
    <row r="34" spans="1:7" ht="22.05" customHeight="1" x14ac:dyDescent="0.3">
      <c r="A34" s="3" t="s">
        <v>51</v>
      </c>
      <c r="B34" s="3" t="s">
        <v>52</v>
      </c>
      <c r="C34" s="30" t="s">
        <v>53</v>
      </c>
      <c r="D34" s="30"/>
      <c r="E34" s="30"/>
      <c r="F34" s="30"/>
      <c r="G34" s="30"/>
    </row>
  </sheetData>
  <mergeCells count="31">
    <mergeCell ref="A1:G1"/>
    <mergeCell ref="A2:G2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A15:G15"/>
    <mergeCell ref="A16:G16"/>
    <mergeCell ref="A17:G17"/>
    <mergeCell ref="A18:G18"/>
    <mergeCell ref="A19:G19"/>
    <mergeCell ref="A20:G20"/>
    <mergeCell ref="A21:G21"/>
    <mergeCell ref="A22:G22"/>
    <mergeCell ref="A24:G24"/>
    <mergeCell ref="C25:G25"/>
    <mergeCell ref="C26:G26"/>
    <mergeCell ref="C27:G27"/>
    <mergeCell ref="C28:G28"/>
    <mergeCell ref="C34:G34"/>
    <mergeCell ref="C29:G29"/>
    <mergeCell ref="C30:G30"/>
    <mergeCell ref="C31:G31"/>
    <mergeCell ref="C32:G32"/>
    <mergeCell ref="C33:G33"/>
  </mergeCells>
  <pageMargins left="0.7" right="0.7" top="0.75" bottom="0.75" header="0.3" footer="0.3"/>
  <pageSetup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7"/>
  <sheetViews>
    <sheetView showGridLines="0" workbookViewId="0">
      <pane ySplit="6" topLeftCell="A7" activePane="bottomLeft" state="frozen"/>
      <selection pane="bottomLeft" activeCell="C44" sqref="C44"/>
    </sheetView>
  </sheetViews>
  <sheetFormatPr defaultRowHeight="14.4" x14ac:dyDescent="0.3"/>
  <cols>
    <col min="1" max="1" width="36" customWidth="1"/>
    <col min="2" max="2" width="22" customWidth="1"/>
    <col min="3" max="3" width="42" customWidth="1"/>
    <col min="4" max="4" width="48" customWidth="1"/>
    <col min="5" max="5" width="42" customWidth="1"/>
    <col min="6" max="6" width="22" customWidth="1"/>
    <col min="7" max="7" width="48" customWidth="1"/>
  </cols>
  <sheetData>
    <row r="1" spans="1:7" ht="28.05" customHeight="1" x14ac:dyDescent="0.3">
      <c r="A1" s="33" t="s">
        <v>54</v>
      </c>
      <c r="B1" s="33"/>
      <c r="C1" s="33"/>
      <c r="D1" s="33"/>
      <c r="E1" s="33"/>
      <c r="F1" s="33"/>
      <c r="G1" s="33"/>
    </row>
    <row r="2" spans="1:7" ht="31.95" customHeight="1" x14ac:dyDescent="0.3">
      <c r="A2" s="38" t="s">
        <v>55</v>
      </c>
      <c r="B2" s="38"/>
      <c r="C2" s="38"/>
      <c r="D2" s="38"/>
      <c r="E2" s="38"/>
      <c r="F2" s="38"/>
      <c r="G2" s="38"/>
    </row>
    <row r="4" spans="1:7" x14ac:dyDescent="0.3">
      <c r="A4" s="32" t="s">
        <v>56</v>
      </c>
      <c r="B4" s="32"/>
      <c r="C4" s="32"/>
      <c r="D4" s="32"/>
      <c r="E4" s="32"/>
    </row>
    <row r="5" spans="1:7" ht="22.05" customHeight="1" x14ac:dyDescent="0.3">
      <c r="A5" s="1" t="s">
        <v>57</v>
      </c>
      <c r="B5" s="1" t="s">
        <v>58</v>
      </c>
      <c r="C5" s="33" t="s">
        <v>59</v>
      </c>
      <c r="D5" s="33"/>
      <c r="E5" s="33"/>
      <c r="F5" s="33"/>
      <c r="G5" s="33"/>
    </row>
    <row r="6" spans="1:7" ht="22.05" customHeight="1" x14ac:dyDescent="0.3">
      <c r="A6" s="6" t="s">
        <v>60</v>
      </c>
      <c r="B6" s="7">
        <f>COUNTIF('TEST-CASES'!M8:M200,"Automated (API)")</f>
        <v>5</v>
      </c>
      <c r="C6" s="39" t="s">
        <v>61</v>
      </c>
      <c r="D6" s="39"/>
      <c r="E6" s="39"/>
      <c r="F6" s="39"/>
      <c r="G6" s="39"/>
    </row>
    <row r="7" spans="1:7" ht="22.05" customHeight="1" x14ac:dyDescent="0.3">
      <c r="A7" s="8" t="s">
        <v>62</v>
      </c>
      <c r="B7" s="3">
        <f>COUNTIF('TEST-CASES'!M8:M200,"Partial")</f>
        <v>36</v>
      </c>
      <c r="C7" s="30" t="s">
        <v>63</v>
      </c>
      <c r="D7" s="30"/>
      <c r="E7" s="30"/>
      <c r="F7" s="30"/>
      <c r="G7" s="30"/>
    </row>
    <row r="8" spans="1:7" ht="22.05" customHeight="1" x14ac:dyDescent="0.3">
      <c r="A8" s="9" t="s">
        <v>64</v>
      </c>
      <c r="B8" s="10">
        <f>COUNTIF('TEST-CASES'!M8:M200,"Gap (API)")</f>
        <v>14</v>
      </c>
      <c r="C8" s="36" t="s">
        <v>65</v>
      </c>
      <c r="D8" s="36"/>
      <c r="E8" s="36"/>
      <c r="F8" s="36"/>
      <c r="G8" s="36"/>
    </row>
    <row r="9" spans="1:7" ht="22.05" customHeight="1" x14ac:dyDescent="0.3">
      <c r="A9" s="11" t="s">
        <v>66</v>
      </c>
      <c r="B9" s="12">
        <f>COUNTIF('TEST-CASES'!M8:M200,"Gap (UI)")</f>
        <v>19</v>
      </c>
      <c r="C9" s="37" t="s">
        <v>67</v>
      </c>
      <c r="D9" s="37"/>
      <c r="E9" s="37"/>
      <c r="F9" s="37"/>
      <c r="G9" s="37"/>
    </row>
    <row r="10" spans="1:7" ht="22.05" customHeight="1" x14ac:dyDescent="0.3">
      <c r="A10" s="8" t="s">
        <v>68</v>
      </c>
      <c r="B10" s="3">
        <f>B6+B7+B8+B9</f>
        <v>74</v>
      </c>
      <c r="C10" s="30" t="s">
        <v>69</v>
      </c>
      <c r="D10" s="30"/>
      <c r="E10" s="30"/>
      <c r="F10" s="30"/>
      <c r="G10" s="30"/>
    </row>
    <row r="13" spans="1:7" x14ac:dyDescent="0.3">
      <c r="A13" s="32" t="s">
        <v>70</v>
      </c>
      <c r="B13" s="32"/>
      <c r="C13" s="32"/>
      <c r="D13" s="32"/>
      <c r="E13" s="32"/>
      <c r="F13" s="32"/>
      <c r="G13" s="32"/>
    </row>
    <row r="14" spans="1:7" ht="28.05" customHeight="1" x14ac:dyDescent="0.3">
      <c r="A14" s="13" t="s">
        <v>30</v>
      </c>
      <c r="B14" s="13" t="s">
        <v>71</v>
      </c>
      <c r="C14" s="13" t="s">
        <v>72</v>
      </c>
      <c r="D14" s="13" t="s">
        <v>73</v>
      </c>
      <c r="E14" s="13" t="s">
        <v>74</v>
      </c>
      <c r="F14" s="13" t="s">
        <v>75</v>
      </c>
      <c r="G14" s="13" t="s">
        <v>76</v>
      </c>
    </row>
    <row r="15" spans="1:7" ht="42" customHeight="1" x14ac:dyDescent="0.3">
      <c r="A15" s="4" t="s">
        <v>77</v>
      </c>
      <c r="B15" s="4" t="s">
        <v>71</v>
      </c>
      <c r="C15" s="4" t="s">
        <v>78</v>
      </c>
      <c r="D15" s="4" t="s">
        <v>79</v>
      </c>
      <c r="E15" s="4" t="s">
        <v>80</v>
      </c>
      <c r="F15" s="4" t="s">
        <v>62</v>
      </c>
      <c r="G15" s="4" t="s">
        <v>81</v>
      </c>
    </row>
    <row r="16" spans="1:7" ht="42" customHeight="1" x14ac:dyDescent="0.3">
      <c r="A16" s="3" t="s">
        <v>82</v>
      </c>
      <c r="B16" s="3" t="s">
        <v>71</v>
      </c>
      <c r="C16" s="3" t="s">
        <v>83</v>
      </c>
      <c r="D16" s="3" t="s">
        <v>84</v>
      </c>
      <c r="E16" s="3" t="s">
        <v>80</v>
      </c>
      <c r="F16" s="3" t="s">
        <v>62</v>
      </c>
      <c r="G16" s="3" t="s">
        <v>85</v>
      </c>
    </row>
    <row r="17" spans="1:7" ht="42" customHeight="1" x14ac:dyDescent="0.3">
      <c r="A17" s="4" t="s">
        <v>42</v>
      </c>
      <c r="B17" s="4" t="s">
        <v>71</v>
      </c>
      <c r="C17" s="4" t="s">
        <v>86</v>
      </c>
      <c r="D17" s="4" t="s">
        <v>87</v>
      </c>
      <c r="E17" s="4" t="s">
        <v>88</v>
      </c>
      <c r="F17" s="4" t="s">
        <v>64</v>
      </c>
      <c r="G17" s="4" t="s">
        <v>89</v>
      </c>
    </row>
    <row r="18" spans="1:7" ht="42" customHeight="1" x14ac:dyDescent="0.3">
      <c r="A18" s="3" t="s">
        <v>45</v>
      </c>
      <c r="B18" s="3" t="s">
        <v>71</v>
      </c>
      <c r="C18" s="3" t="s">
        <v>90</v>
      </c>
      <c r="D18" s="3" t="s">
        <v>91</v>
      </c>
      <c r="E18" s="3" t="s">
        <v>92</v>
      </c>
      <c r="F18" s="3" t="s">
        <v>62</v>
      </c>
      <c r="G18" s="3" t="s">
        <v>93</v>
      </c>
    </row>
    <row r="19" spans="1:7" ht="42" customHeight="1" x14ac:dyDescent="0.3">
      <c r="A19" s="4" t="s">
        <v>47</v>
      </c>
      <c r="B19" s="4" t="s">
        <v>71</v>
      </c>
      <c r="C19" s="4" t="s">
        <v>94</v>
      </c>
      <c r="D19" s="4" t="s">
        <v>95</v>
      </c>
      <c r="E19" s="4" t="s">
        <v>96</v>
      </c>
      <c r="F19" s="4" t="s">
        <v>60</v>
      </c>
      <c r="G19" s="4" t="s">
        <v>97</v>
      </c>
    </row>
    <row r="20" spans="1:7" ht="42" customHeight="1" x14ac:dyDescent="0.3">
      <c r="A20" s="3" t="s">
        <v>49</v>
      </c>
      <c r="B20" s="3" t="s">
        <v>71</v>
      </c>
      <c r="C20" s="3" t="s">
        <v>98</v>
      </c>
      <c r="D20" s="3" t="s">
        <v>99</v>
      </c>
      <c r="E20" s="3" t="s">
        <v>100</v>
      </c>
      <c r="F20" s="3" t="s">
        <v>60</v>
      </c>
      <c r="G20" s="3" t="s">
        <v>101</v>
      </c>
    </row>
    <row r="21" spans="1:7" ht="42" customHeight="1" x14ac:dyDescent="0.3">
      <c r="A21" s="4" t="s">
        <v>51</v>
      </c>
      <c r="B21" s="4" t="s">
        <v>71</v>
      </c>
      <c r="C21" s="4" t="s">
        <v>102</v>
      </c>
      <c r="D21" s="4" t="s">
        <v>103</v>
      </c>
      <c r="E21" s="4" t="s">
        <v>104</v>
      </c>
      <c r="F21" s="4" t="s">
        <v>62</v>
      </c>
      <c r="G21" s="4" t="s">
        <v>105</v>
      </c>
    </row>
    <row r="22" spans="1:7" ht="42" customHeight="1" x14ac:dyDescent="0.3">
      <c r="A22" s="3" t="s">
        <v>106</v>
      </c>
      <c r="B22" s="3" t="s">
        <v>107</v>
      </c>
      <c r="C22" s="3" t="s">
        <v>108</v>
      </c>
      <c r="D22" s="3" t="s">
        <v>108</v>
      </c>
      <c r="E22" s="3" t="s">
        <v>109</v>
      </c>
      <c r="F22" s="3" t="s">
        <v>66</v>
      </c>
      <c r="G22" s="3" t="s">
        <v>110</v>
      </c>
    </row>
    <row r="23" spans="1:7" ht="42" customHeight="1" x14ac:dyDescent="0.3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62</v>
      </c>
      <c r="G23" s="4" t="s">
        <v>116</v>
      </c>
    </row>
    <row r="26" spans="1:7" x14ac:dyDescent="0.3">
      <c r="A26" s="32" t="s">
        <v>117</v>
      </c>
      <c r="B26" s="32"/>
      <c r="C26" s="32"/>
      <c r="D26" s="32"/>
      <c r="E26" s="32"/>
      <c r="F26" s="32"/>
      <c r="G26" s="32"/>
    </row>
    <row r="27" spans="1:7" x14ac:dyDescent="0.3">
      <c r="A27" s="1" t="s">
        <v>118</v>
      </c>
      <c r="B27" s="1" t="s">
        <v>119</v>
      </c>
      <c r="C27" s="1" t="s">
        <v>120</v>
      </c>
      <c r="D27" s="1" t="s">
        <v>121</v>
      </c>
      <c r="E27" s="1" t="s">
        <v>122</v>
      </c>
    </row>
    <row r="28" spans="1:7" ht="28.05" customHeight="1" x14ac:dyDescent="0.3">
      <c r="A28" s="4" t="s">
        <v>123</v>
      </c>
      <c r="B28" s="4" t="s">
        <v>78</v>
      </c>
      <c r="C28" s="4" t="s">
        <v>80</v>
      </c>
      <c r="D28" s="4" t="s">
        <v>124</v>
      </c>
      <c r="E28" s="31" t="s">
        <v>125</v>
      </c>
      <c r="F28" s="31"/>
      <c r="G28" s="31"/>
    </row>
    <row r="29" spans="1:7" ht="28.05" customHeight="1" x14ac:dyDescent="0.3">
      <c r="A29" s="3" t="s">
        <v>126</v>
      </c>
      <c r="B29" s="3" t="s">
        <v>127</v>
      </c>
      <c r="C29" s="3" t="s">
        <v>128</v>
      </c>
      <c r="D29" s="3" t="s">
        <v>129</v>
      </c>
      <c r="E29" s="30" t="s">
        <v>125</v>
      </c>
      <c r="F29" s="30"/>
      <c r="G29" s="30"/>
    </row>
    <row r="30" spans="1:7" ht="28.05" customHeight="1" x14ac:dyDescent="0.3">
      <c r="A30" s="4" t="s">
        <v>130</v>
      </c>
      <c r="B30" s="4" t="s">
        <v>131</v>
      </c>
      <c r="C30" s="4" t="s">
        <v>132</v>
      </c>
      <c r="D30" s="4" t="s">
        <v>133</v>
      </c>
      <c r="E30" s="31" t="s">
        <v>134</v>
      </c>
      <c r="F30" s="31"/>
      <c r="G30" s="31"/>
    </row>
    <row r="31" spans="1:7" ht="28.05" customHeight="1" x14ac:dyDescent="0.3">
      <c r="A31" s="3" t="s">
        <v>135</v>
      </c>
      <c r="B31" s="3" t="s">
        <v>136</v>
      </c>
      <c r="C31" s="3" t="s">
        <v>137</v>
      </c>
      <c r="D31" s="3" t="s">
        <v>138</v>
      </c>
      <c r="E31" s="30" t="s">
        <v>125</v>
      </c>
      <c r="F31" s="30"/>
      <c r="G31" s="30"/>
    </row>
    <row r="32" spans="1:7" ht="28.05" customHeight="1" x14ac:dyDescent="0.3">
      <c r="A32" s="4" t="s">
        <v>139</v>
      </c>
      <c r="B32" s="4" t="s">
        <v>140</v>
      </c>
      <c r="C32" s="4" t="s">
        <v>141</v>
      </c>
      <c r="D32" s="4" t="s">
        <v>142</v>
      </c>
      <c r="E32" s="31" t="s">
        <v>143</v>
      </c>
      <c r="F32" s="31"/>
      <c r="G32" s="31"/>
    </row>
    <row r="33" spans="1:7" ht="28.05" customHeight="1" x14ac:dyDescent="0.3">
      <c r="A33" s="3" t="s">
        <v>144</v>
      </c>
      <c r="B33" s="3" t="s">
        <v>145</v>
      </c>
      <c r="C33" s="3" t="s">
        <v>146</v>
      </c>
      <c r="D33" s="3" t="s">
        <v>147</v>
      </c>
      <c r="E33" s="30" t="s">
        <v>125</v>
      </c>
      <c r="F33" s="30"/>
      <c r="G33" s="30"/>
    </row>
    <row r="34" spans="1:7" ht="28.05" customHeight="1" x14ac:dyDescent="0.3">
      <c r="A34" s="4" t="s">
        <v>148</v>
      </c>
      <c r="B34" s="4" t="s">
        <v>149</v>
      </c>
      <c r="C34" s="4" t="s">
        <v>150</v>
      </c>
      <c r="D34" s="4" t="s">
        <v>151</v>
      </c>
      <c r="E34" s="31" t="s">
        <v>125</v>
      </c>
      <c r="F34" s="31"/>
      <c r="G34" s="31"/>
    </row>
    <row r="35" spans="1:7" ht="28.05" customHeight="1" x14ac:dyDescent="0.3">
      <c r="A35" s="3" t="s">
        <v>152</v>
      </c>
      <c r="B35" s="3" t="s">
        <v>153</v>
      </c>
      <c r="C35" s="3" t="s">
        <v>154</v>
      </c>
      <c r="D35" s="3" t="s">
        <v>155</v>
      </c>
      <c r="E35" s="30" t="s">
        <v>156</v>
      </c>
      <c r="F35" s="30"/>
      <c r="G35" s="30"/>
    </row>
    <row r="38" spans="1:7" x14ac:dyDescent="0.3">
      <c r="A38" s="32" t="s">
        <v>157</v>
      </c>
      <c r="B38" s="32"/>
      <c r="C38" s="32"/>
      <c r="D38" s="32"/>
      <c r="E38" s="32"/>
      <c r="F38" s="32"/>
      <c r="G38" s="32"/>
    </row>
    <row r="39" spans="1:7" x14ac:dyDescent="0.3">
      <c r="A39" s="1" t="s">
        <v>158</v>
      </c>
      <c r="B39" s="1" t="s">
        <v>159</v>
      </c>
      <c r="C39" s="1" t="s">
        <v>160</v>
      </c>
      <c r="D39" s="1" t="s">
        <v>161</v>
      </c>
      <c r="E39" s="1" t="s">
        <v>162</v>
      </c>
    </row>
    <row r="40" spans="1:7" ht="36" customHeight="1" x14ac:dyDescent="0.3">
      <c r="A40" s="10" t="s">
        <v>163</v>
      </c>
      <c r="B40" s="10" t="s">
        <v>164</v>
      </c>
      <c r="C40" s="10" t="s">
        <v>165</v>
      </c>
      <c r="D40" s="10" t="s">
        <v>166</v>
      </c>
      <c r="E40" s="36" t="s">
        <v>167</v>
      </c>
      <c r="F40" s="36"/>
      <c r="G40" s="36"/>
    </row>
    <row r="41" spans="1:7" ht="36" customHeight="1" x14ac:dyDescent="0.3">
      <c r="A41" s="10" t="s">
        <v>163</v>
      </c>
      <c r="B41" s="10" t="s">
        <v>164</v>
      </c>
      <c r="C41" s="10" t="s">
        <v>168</v>
      </c>
      <c r="D41" s="10" t="s">
        <v>169</v>
      </c>
      <c r="E41" s="36" t="s">
        <v>170</v>
      </c>
      <c r="F41" s="36"/>
      <c r="G41" s="36"/>
    </row>
    <row r="42" spans="1:7" ht="36" customHeight="1" x14ac:dyDescent="0.3">
      <c r="A42" s="10" t="s">
        <v>163</v>
      </c>
      <c r="B42" s="10" t="s">
        <v>164</v>
      </c>
      <c r="C42" s="10" t="s">
        <v>171</v>
      </c>
      <c r="D42" s="10" t="s">
        <v>172</v>
      </c>
      <c r="E42" s="36" t="s">
        <v>173</v>
      </c>
      <c r="F42" s="36"/>
      <c r="G42" s="36"/>
    </row>
    <row r="43" spans="1:7" ht="36" customHeight="1" x14ac:dyDescent="0.3">
      <c r="A43" s="3" t="s">
        <v>174</v>
      </c>
      <c r="B43" s="3" t="s">
        <v>164</v>
      </c>
      <c r="C43" s="3" t="s">
        <v>175</v>
      </c>
      <c r="D43" s="3" t="s">
        <v>176</v>
      </c>
      <c r="E43" s="30" t="s">
        <v>177</v>
      </c>
      <c r="F43" s="30"/>
      <c r="G43" s="30"/>
    </row>
    <row r="44" spans="1:7" ht="36" customHeight="1" x14ac:dyDescent="0.3">
      <c r="A44" s="4" t="s">
        <v>174</v>
      </c>
      <c r="B44" s="4" t="s">
        <v>164</v>
      </c>
      <c r="C44" s="4" t="s">
        <v>178</v>
      </c>
      <c r="D44" s="4" t="s">
        <v>179</v>
      </c>
      <c r="E44" s="31" t="s">
        <v>180</v>
      </c>
      <c r="F44" s="31"/>
      <c r="G44" s="31"/>
    </row>
    <row r="45" spans="1:7" ht="36" customHeight="1" x14ac:dyDescent="0.3">
      <c r="A45" s="3" t="s">
        <v>174</v>
      </c>
      <c r="B45" s="3" t="s">
        <v>164</v>
      </c>
      <c r="C45" s="3" t="s">
        <v>181</v>
      </c>
      <c r="D45" s="3" t="s">
        <v>182</v>
      </c>
      <c r="E45" s="30" t="s">
        <v>183</v>
      </c>
      <c r="F45" s="30"/>
      <c r="G45" s="30"/>
    </row>
    <row r="46" spans="1:7" ht="36" customHeight="1" x14ac:dyDescent="0.3">
      <c r="A46" s="4" t="s">
        <v>184</v>
      </c>
      <c r="B46" s="4" t="s">
        <v>112</v>
      </c>
      <c r="C46" s="4" t="s">
        <v>185</v>
      </c>
      <c r="D46" s="4" t="s">
        <v>186</v>
      </c>
      <c r="E46" s="31" t="s">
        <v>187</v>
      </c>
      <c r="F46" s="31"/>
      <c r="G46" s="31"/>
    </row>
    <row r="47" spans="1:7" ht="36" customHeight="1" x14ac:dyDescent="0.3">
      <c r="A47" s="3" t="s">
        <v>184</v>
      </c>
      <c r="B47" s="3" t="s">
        <v>112</v>
      </c>
      <c r="C47" s="3" t="s">
        <v>188</v>
      </c>
      <c r="D47" s="3" t="s">
        <v>109</v>
      </c>
      <c r="E47" s="30" t="s">
        <v>189</v>
      </c>
      <c r="F47" s="30"/>
      <c r="G47" s="30"/>
    </row>
  </sheetData>
  <mergeCells count="28">
    <mergeCell ref="A1:G1"/>
    <mergeCell ref="A2:G2"/>
    <mergeCell ref="A4:E4"/>
    <mergeCell ref="C5:G5"/>
    <mergeCell ref="C6:G6"/>
    <mergeCell ref="C7:G7"/>
    <mergeCell ref="C8:G8"/>
    <mergeCell ref="C9:G9"/>
    <mergeCell ref="C10:G10"/>
    <mergeCell ref="A13:G13"/>
    <mergeCell ref="A26:G26"/>
    <mergeCell ref="E28:G28"/>
    <mergeCell ref="E29:G29"/>
    <mergeCell ref="E30:G30"/>
    <mergeCell ref="E31:G31"/>
    <mergeCell ref="E32:G32"/>
    <mergeCell ref="E33:G33"/>
    <mergeCell ref="E34:G34"/>
    <mergeCell ref="E35:G35"/>
    <mergeCell ref="A38:G38"/>
    <mergeCell ref="E45:G45"/>
    <mergeCell ref="E46:G46"/>
    <mergeCell ref="E47:G47"/>
    <mergeCell ref="E40:G40"/>
    <mergeCell ref="E41:G41"/>
    <mergeCell ref="E42:G42"/>
    <mergeCell ref="E43:G43"/>
    <mergeCell ref="E44:G44"/>
  </mergeCells>
  <pageMargins left="0.7" right="0.7" top="0.75" bottom="0.75" header="0.3" footer="0.3"/>
  <pageSetup orientation="landscape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100-000001000000}">
            <xm:f>NOT(ISERROR(SEARCH("Automated",F15)))</xm:f>
            <x14:dxf>
              <fill>
                <patternFill patternType="solid">
                  <bgColor rgb="FFC6EFCE"/>
                </patternFill>
              </fill>
            </x14:dxf>
          </x14:cfRule>
          <x14:cfRule type="containsText" priority="2" operator="containsText" id="{00000000-000E-0000-0100-000002000000}">
            <xm:f>NOT(ISERROR(SEARCH("Gap",F15)))</xm:f>
            <x14:dxf>
              <fill>
                <patternFill patternType="solid">
                  <bgColor rgb="FFFCE4D6"/>
                </patternFill>
              </fill>
            </x14:dxf>
          </x14:cfRule>
          <x14:cfRule type="containsText" priority="3" operator="containsText" id="{00000000-000E-0000-0100-000003000000}">
            <xm:f>NOT(ISERROR(SEARCH("Partial",F15)))</xm:f>
            <x14:dxf>
              <fill>
                <patternFill patternType="solid">
                  <bgColor rgb="FFFFF2CC"/>
                </patternFill>
              </fill>
            </x14:dxf>
          </x14:cfRule>
          <xm:sqref>F15:F23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26" customWidth="1"/>
    <col min="2" max="2" width="22" customWidth="1"/>
    <col min="3" max="3" width="24" customWidth="1"/>
    <col min="4" max="5" width="22" customWidth="1"/>
    <col min="6" max="6" width="16" customWidth="1"/>
    <col min="7" max="8" width="14" customWidth="1"/>
    <col min="9" max="10" width="16" customWidth="1"/>
    <col min="11" max="11" width="12" customWidth="1"/>
    <col min="12" max="12" width="32" customWidth="1"/>
  </cols>
  <sheetData>
    <row r="1" spans="1:12" ht="28.05" customHeight="1" x14ac:dyDescent="0.3">
      <c r="A1" s="33" t="s">
        <v>190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2.05" customHeight="1" x14ac:dyDescent="0.3">
      <c r="A2" s="38" t="s">
        <v>191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spans="1:12" ht="36" customHeight="1" x14ac:dyDescent="0.3">
      <c r="A4" s="13" t="s">
        <v>30</v>
      </c>
      <c r="B4" s="13" t="s">
        <v>192</v>
      </c>
      <c r="C4" s="13" t="s">
        <v>193</v>
      </c>
      <c r="D4" s="13" t="s">
        <v>194</v>
      </c>
      <c r="E4" s="13" t="s">
        <v>195</v>
      </c>
      <c r="F4" s="13" t="s">
        <v>196</v>
      </c>
      <c r="G4" s="13" t="s">
        <v>197</v>
      </c>
      <c r="H4" s="13" t="s">
        <v>198</v>
      </c>
      <c r="I4" s="13" t="s">
        <v>199</v>
      </c>
      <c r="J4" s="13" t="s">
        <v>200</v>
      </c>
      <c r="K4" s="13" t="s">
        <v>201</v>
      </c>
      <c r="L4" s="13" t="s">
        <v>202</v>
      </c>
    </row>
    <row r="5" spans="1:12" ht="22.05" customHeight="1" x14ac:dyDescent="0.3">
      <c r="A5" s="14" t="s">
        <v>33</v>
      </c>
      <c r="B5" s="15" t="s">
        <v>203</v>
      </c>
      <c r="C5" s="15" t="s">
        <v>203</v>
      </c>
      <c r="D5" s="15" t="s">
        <v>203</v>
      </c>
      <c r="E5" s="15" t="s">
        <v>204</v>
      </c>
      <c r="F5" s="15" t="s">
        <v>204</v>
      </c>
      <c r="G5" s="15" t="s">
        <v>204</v>
      </c>
      <c r="H5" s="15" t="s">
        <v>204</v>
      </c>
      <c r="I5" s="15" t="s">
        <v>204</v>
      </c>
      <c r="J5" s="15" t="s">
        <v>204</v>
      </c>
      <c r="K5" s="15">
        <f t="shared" ref="K5:K13" si="0">COUNTIF(B5:J5,"Y")</f>
        <v>3</v>
      </c>
      <c r="L5" s="14" t="s">
        <v>35</v>
      </c>
    </row>
    <row r="6" spans="1:12" ht="22.05" customHeight="1" x14ac:dyDescent="0.3">
      <c r="A6" s="16" t="s">
        <v>36</v>
      </c>
      <c r="B6" s="17" t="s">
        <v>203</v>
      </c>
      <c r="C6" s="17" t="s">
        <v>203</v>
      </c>
      <c r="D6" s="17" t="s">
        <v>203</v>
      </c>
      <c r="E6" s="17" t="s">
        <v>204</v>
      </c>
      <c r="F6" s="17" t="s">
        <v>204</v>
      </c>
      <c r="G6" s="17" t="s">
        <v>204</v>
      </c>
      <c r="H6" s="17" t="s">
        <v>204</v>
      </c>
      <c r="I6" s="17" t="s">
        <v>204</v>
      </c>
      <c r="J6" s="17" t="s">
        <v>204</v>
      </c>
      <c r="K6" s="17">
        <f t="shared" si="0"/>
        <v>3</v>
      </c>
      <c r="L6" s="16" t="s">
        <v>205</v>
      </c>
    </row>
    <row r="7" spans="1:12" ht="22.05" customHeight="1" x14ac:dyDescent="0.3">
      <c r="A7" s="14" t="s">
        <v>38</v>
      </c>
      <c r="B7" s="15" t="s">
        <v>203</v>
      </c>
      <c r="C7" s="15" t="s">
        <v>203</v>
      </c>
      <c r="D7" s="15" t="s">
        <v>203</v>
      </c>
      <c r="E7" s="15" t="s">
        <v>204</v>
      </c>
      <c r="F7" s="15" t="s">
        <v>204</v>
      </c>
      <c r="G7" s="15" t="s">
        <v>204</v>
      </c>
      <c r="H7" s="15" t="s">
        <v>204</v>
      </c>
      <c r="I7" s="15" t="s">
        <v>204</v>
      </c>
      <c r="J7" s="15" t="s">
        <v>204</v>
      </c>
      <c r="K7" s="15">
        <f t="shared" si="0"/>
        <v>3</v>
      </c>
      <c r="L7" s="14" t="s">
        <v>206</v>
      </c>
    </row>
    <row r="8" spans="1:12" ht="22.05" customHeight="1" x14ac:dyDescent="0.3">
      <c r="A8" s="16" t="s">
        <v>40</v>
      </c>
      <c r="B8" s="17" t="s">
        <v>203</v>
      </c>
      <c r="C8" s="17" t="s">
        <v>203</v>
      </c>
      <c r="D8" s="17" t="s">
        <v>203</v>
      </c>
      <c r="E8" s="17" t="s">
        <v>204</v>
      </c>
      <c r="F8" s="17" t="s">
        <v>204</v>
      </c>
      <c r="G8" s="17" t="s">
        <v>204</v>
      </c>
      <c r="H8" s="17" t="s">
        <v>204</v>
      </c>
      <c r="I8" s="17" t="s">
        <v>204</v>
      </c>
      <c r="J8" s="17" t="s">
        <v>204</v>
      </c>
      <c r="K8" s="17">
        <f t="shared" si="0"/>
        <v>3</v>
      </c>
      <c r="L8" s="16" t="s">
        <v>207</v>
      </c>
    </row>
    <row r="9" spans="1:12" ht="22.05" customHeight="1" x14ac:dyDescent="0.3">
      <c r="A9" s="14" t="s">
        <v>42</v>
      </c>
      <c r="B9" s="15" t="s">
        <v>204</v>
      </c>
      <c r="C9" s="15" t="s">
        <v>203</v>
      </c>
      <c r="D9" s="15" t="s">
        <v>204</v>
      </c>
      <c r="E9" s="15" t="s">
        <v>203</v>
      </c>
      <c r="F9" s="15" t="s">
        <v>203</v>
      </c>
      <c r="G9" s="15" t="s">
        <v>203</v>
      </c>
      <c r="H9" s="15" t="s">
        <v>203</v>
      </c>
      <c r="I9" s="15" t="s">
        <v>208</v>
      </c>
      <c r="J9" s="15" t="s">
        <v>203</v>
      </c>
      <c r="K9" s="15">
        <f t="shared" si="0"/>
        <v>6</v>
      </c>
      <c r="L9" s="14" t="s">
        <v>209</v>
      </c>
    </row>
    <row r="10" spans="1:12" ht="22.05" customHeight="1" x14ac:dyDescent="0.3">
      <c r="A10" s="16" t="s">
        <v>45</v>
      </c>
      <c r="B10" s="17" t="s">
        <v>204</v>
      </c>
      <c r="C10" s="17" t="s">
        <v>203</v>
      </c>
      <c r="D10" s="17" t="s">
        <v>204</v>
      </c>
      <c r="E10" s="17" t="s">
        <v>203</v>
      </c>
      <c r="F10" s="17" t="s">
        <v>203</v>
      </c>
      <c r="G10" s="17" t="s">
        <v>203</v>
      </c>
      <c r="H10" s="17" t="s">
        <v>203</v>
      </c>
      <c r="I10" s="17" t="s">
        <v>208</v>
      </c>
      <c r="J10" s="17" t="s">
        <v>204</v>
      </c>
      <c r="K10" s="17">
        <f t="shared" si="0"/>
        <v>5</v>
      </c>
      <c r="L10" s="16" t="s">
        <v>210</v>
      </c>
    </row>
    <row r="11" spans="1:12" ht="22.05" customHeight="1" x14ac:dyDescent="0.3">
      <c r="A11" s="14" t="s">
        <v>47</v>
      </c>
      <c r="B11" s="15" t="s">
        <v>204</v>
      </c>
      <c r="C11" s="15" t="s">
        <v>203</v>
      </c>
      <c r="D11" s="15" t="s">
        <v>204</v>
      </c>
      <c r="E11" s="15" t="s">
        <v>203</v>
      </c>
      <c r="F11" s="15" t="s">
        <v>203</v>
      </c>
      <c r="G11" s="15" t="s">
        <v>203</v>
      </c>
      <c r="H11" s="15" t="s">
        <v>203</v>
      </c>
      <c r="I11" s="15" t="s">
        <v>208</v>
      </c>
      <c r="J11" s="15" t="s">
        <v>204</v>
      </c>
      <c r="K11" s="15">
        <f t="shared" si="0"/>
        <v>5</v>
      </c>
      <c r="L11" s="14" t="s">
        <v>211</v>
      </c>
    </row>
    <row r="12" spans="1:12" ht="22.05" customHeight="1" x14ac:dyDescent="0.3">
      <c r="A12" s="16" t="s">
        <v>49</v>
      </c>
      <c r="B12" s="17" t="s">
        <v>204</v>
      </c>
      <c r="C12" s="17" t="s">
        <v>203</v>
      </c>
      <c r="D12" s="17" t="s">
        <v>204</v>
      </c>
      <c r="E12" s="17" t="s">
        <v>203</v>
      </c>
      <c r="F12" s="17" t="s">
        <v>203</v>
      </c>
      <c r="G12" s="17" t="s">
        <v>203</v>
      </c>
      <c r="H12" s="17" t="s">
        <v>203</v>
      </c>
      <c r="I12" s="17" t="s">
        <v>208</v>
      </c>
      <c r="J12" s="17" t="s">
        <v>204</v>
      </c>
      <c r="K12" s="17">
        <f t="shared" si="0"/>
        <v>5</v>
      </c>
      <c r="L12" s="16" t="s">
        <v>212</v>
      </c>
    </row>
    <row r="13" spans="1:12" ht="22.05" customHeight="1" x14ac:dyDescent="0.3">
      <c r="A13" s="14" t="s">
        <v>51</v>
      </c>
      <c r="B13" s="15" t="s">
        <v>203</v>
      </c>
      <c r="C13" s="15" t="s">
        <v>203</v>
      </c>
      <c r="D13" s="15" t="s">
        <v>204</v>
      </c>
      <c r="E13" s="15" t="s">
        <v>203</v>
      </c>
      <c r="F13" s="15" t="s">
        <v>203</v>
      </c>
      <c r="G13" s="15" t="s">
        <v>203</v>
      </c>
      <c r="H13" s="15" t="s">
        <v>204</v>
      </c>
      <c r="I13" s="15" t="s">
        <v>208</v>
      </c>
      <c r="J13" s="15" t="s">
        <v>203</v>
      </c>
      <c r="K13" s="15">
        <f t="shared" si="0"/>
        <v>6</v>
      </c>
      <c r="L13" s="14" t="s">
        <v>213</v>
      </c>
    </row>
    <row r="15" spans="1:12" x14ac:dyDescent="0.3">
      <c r="A15" s="32" t="s">
        <v>214</v>
      </c>
      <c r="B15" s="32"/>
      <c r="C15" s="32"/>
      <c r="D15" s="32"/>
    </row>
    <row r="16" spans="1:12" ht="28.8" x14ac:dyDescent="0.3">
      <c r="A16" s="1" t="s">
        <v>215</v>
      </c>
      <c r="B16" s="1" t="s">
        <v>30</v>
      </c>
      <c r="C16" s="1" t="s">
        <v>216</v>
      </c>
      <c r="D16" s="1" t="s">
        <v>217</v>
      </c>
    </row>
    <row r="17" spans="1:4" x14ac:dyDescent="0.3">
      <c r="A17" s="4" t="s">
        <v>218</v>
      </c>
      <c r="B17" s="4" t="s">
        <v>33</v>
      </c>
      <c r="C17" s="4" t="s">
        <v>35</v>
      </c>
      <c r="D17" s="18">
        <v>126482</v>
      </c>
    </row>
    <row r="18" spans="1:4" x14ac:dyDescent="0.3">
      <c r="A18" s="3" t="s">
        <v>219</v>
      </c>
      <c r="B18" s="3" t="s">
        <v>36</v>
      </c>
      <c r="C18" s="3" t="s">
        <v>220</v>
      </c>
      <c r="D18" s="19">
        <v>126474</v>
      </c>
    </row>
    <row r="19" spans="1:4" x14ac:dyDescent="0.3">
      <c r="A19" s="4" t="s">
        <v>221</v>
      </c>
      <c r="B19" s="4" t="s">
        <v>38</v>
      </c>
      <c r="C19" s="4" t="s">
        <v>222</v>
      </c>
      <c r="D19" s="18">
        <v>8</v>
      </c>
    </row>
    <row r="20" spans="1:4" x14ac:dyDescent="0.3">
      <c r="A20" s="3" t="s">
        <v>223</v>
      </c>
      <c r="B20" s="3" t="s">
        <v>40</v>
      </c>
      <c r="C20" s="3" t="s">
        <v>224</v>
      </c>
      <c r="D20" s="19">
        <v>177</v>
      </c>
    </row>
    <row r="21" spans="1:4" x14ac:dyDescent="0.3">
      <c r="A21" s="4" t="s">
        <v>225</v>
      </c>
      <c r="B21" s="4" t="s">
        <v>42</v>
      </c>
      <c r="C21" s="4" t="s">
        <v>226</v>
      </c>
      <c r="D21" s="4" t="s">
        <v>227</v>
      </c>
    </row>
    <row r="22" spans="1:4" x14ac:dyDescent="0.3">
      <c r="A22" s="3" t="s">
        <v>228</v>
      </c>
      <c r="B22" s="3" t="s">
        <v>42</v>
      </c>
      <c r="C22" s="3" t="s">
        <v>229</v>
      </c>
      <c r="D22" s="19">
        <v>126481</v>
      </c>
    </row>
    <row r="23" spans="1:4" x14ac:dyDescent="0.3">
      <c r="A23" s="4" t="s">
        <v>230</v>
      </c>
      <c r="B23" s="4" t="s">
        <v>45</v>
      </c>
      <c r="C23" s="4" t="s">
        <v>231</v>
      </c>
      <c r="D23" s="18">
        <v>111424</v>
      </c>
    </row>
    <row r="24" spans="1:4" x14ac:dyDescent="0.3">
      <c r="A24" s="3" t="s">
        <v>232</v>
      </c>
      <c r="B24" s="3" t="s">
        <v>45</v>
      </c>
      <c r="C24" s="3" t="s">
        <v>233</v>
      </c>
      <c r="D24" s="19">
        <v>15057</v>
      </c>
    </row>
    <row r="25" spans="1:4" x14ac:dyDescent="0.3">
      <c r="A25" s="4" t="s">
        <v>234</v>
      </c>
      <c r="B25" s="4" t="s">
        <v>45</v>
      </c>
      <c r="C25" s="4" t="s">
        <v>235</v>
      </c>
      <c r="D25" s="18">
        <v>1</v>
      </c>
    </row>
    <row r="26" spans="1:4" x14ac:dyDescent="0.3">
      <c r="A26" s="3" t="s">
        <v>236</v>
      </c>
      <c r="B26" s="3" t="s">
        <v>47</v>
      </c>
      <c r="C26" s="3" t="s">
        <v>237</v>
      </c>
      <c r="D26" s="19">
        <v>122639</v>
      </c>
    </row>
    <row r="27" spans="1:4" x14ac:dyDescent="0.3">
      <c r="A27" s="4" t="s">
        <v>238</v>
      </c>
      <c r="B27" s="4" t="s">
        <v>47</v>
      </c>
      <c r="C27" s="4" t="s">
        <v>239</v>
      </c>
      <c r="D27" s="18">
        <v>3838</v>
      </c>
    </row>
    <row r="28" spans="1:4" x14ac:dyDescent="0.3">
      <c r="A28" s="3" t="s">
        <v>240</v>
      </c>
      <c r="B28" s="3" t="s">
        <v>49</v>
      </c>
      <c r="C28" s="3" t="s">
        <v>241</v>
      </c>
      <c r="D28" s="19">
        <v>113561</v>
      </c>
    </row>
    <row r="29" spans="1:4" x14ac:dyDescent="0.3">
      <c r="A29" s="4" t="s">
        <v>242</v>
      </c>
      <c r="B29" s="4" t="s">
        <v>49</v>
      </c>
      <c r="C29" s="4" t="s">
        <v>243</v>
      </c>
      <c r="D29" s="18">
        <v>12628</v>
      </c>
    </row>
    <row r="30" spans="1:4" x14ac:dyDescent="0.3">
      <c r="A30" s="3" t="s">
        <v>244</v>
      </c>
      <c r="B30" s="3" t="s">
        <v>49</v>
      </c>
      <c r="C30" s="3" t="s">
        <v>245</v>
      </c>
      <c r="D30" s="19">
        <v>293</v>
      </c>
    </row>
    <row r="31" spans="1:4" x14ac:dyDescent="0.3">
      <c r="A31" s="4" t="s">
        <v>246</v>
      </c>
      <c r="B31" s="4" t="s">
        <v>247</v>
      </c>
      <c r="C31" s="4" t="s">
        <v>248</v>
      </c>
      <c r="D31" s="18">
        <v>90580</v>
      </c>
    </row>
    <row r="32" spans="1:4" x14ac:dyDescent="0.3">
      <c r="A32" s="3" t="s">
        <v>249</v>
      </c>
      <c r="B32" s="3" t="s">
        <v>247</v>
      </c>
      <c r="C32" s="3" t="s">
        <v>250</v>
      </c>
      <c r="D32" s="19">
        <v>21196</v>
      </c>
    </row>
    <row r="33" spans="1:4" x14ac:dyDescent="0.3">
      <c r="A33" s="4" t="s">
        <v>251</v>
      </c>
      <c r="B33" s="4" t="s">
        <v>247</v>
      </c>
      <c r="C33" s="4" t="s">
        <v>252</v>
      </c>
      <c r="D33" s="18">
        <v>1181</v>
      </c>
    </row>
    <row r="34" spans="1:4" x14ac:dyDescent="0.3">
      <c r="A34" s="3" t="s">
        <v>253</v>
      </c>
      <c r="B34" s="3" t="s">
        <v>247</v>
      </c>
      <c r="C34" s="3" t="s">
        <v>254</v>
      </c>
      <c r="D34" s="20">
        <v>0</v>
      </c>
    </row>
    <row r="35" spans="1:4" x14ac:dyDescent="0.3">
      <c r="A35" s="4" t="s">
        <v>255</v>
      </c>
      <c r="B35" s="4" t="s">
        <v>247</v>
      </c>
      <c r="C35" s="4" t="s">
        <v>256</v>
      </c>
      <c r="D35" s="18">
        <v>11950</v>
      </c>
    </row>
    <row r="36" spans="1:4" x14ac:dyDescent="0.3">
      <c r="A36" s="3" t="s">
        <v>257</v>
      </c>
      <c r="B36" s="3" t="s">
        <v>247</v>
      </c>
      <c r="C36" s="3" t="s">
        <v>258</v>
      </c>
      <c r="D36" s="19">
        <v>7</v>
      </c>
    </row>
    <row r="37" spans="1:4" x14ac:dyDescent="0.3">
      <c r="A37" s="4" t="s">
        <v>259</v>
      </c>
      <c r="B37" s="4" t="s">
        <v>247</v>
      </c>
      <c r="C37" s="4" t="s">
        <v>260</v>
      </c>
      <c r="D37" s="18">
        <v>1567</v>
      </c>
    </row>
    <row r="38" spans="1:4" x14ac:dyDescent="0.3">
      <c r="A38" s="3" t="s">
        <v>261</v>
      </c>
      <c r="B38" s="3" t="s">
        <v>247</v>
      </c>
      <c r="C38" s="3" t="s">
        <v>262</v>
      </c>
      <c r="D38" s="19">
        <v>1</v>
      </c>
    </row>
    <row r="39" spans="1:4" x14ac:dyDescent="0.3">
      <c r="A39" s="4" t="s">
        <v>263</v>
      </c>
      <c r="B39" s="4" t="s">
        <v>247</v>
      </c>
      <c r="C39" s="4" t="s">
        <v>264</v>
      </c>
      <c r="D39" s="20">
        <v>0</v>
      </c>
    </row>
  </sheetData>
  <mergeCells count="3">
    <mergeCell ref="A1:L1"/>
    <mergeCell ref="A2:L2"/>
    <mergeCell ref="A15:D15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200-000001000000}">
            <xm:f>NOT(ISERROR(SEARCH("Y",B5)))</xm:f>
            <x14:dxf>
              <fill>
                <patternFill patternType="solid">
                  <bgColor rgb="FFC6EFCE"/>
                </patternFill>
              </fill>
            </x14:dxf>
          </x14:cfRule>
          <x14:cfRule type="containsText" priority="2" operator="containsText" id="{00000000-000E-0000-0200-000002000000}">
            <xm:f>NOT(ISERROR(SEARCH("EXP",B5)))</xm:f>
            <x14:dxf>
              <fill>
                <patternFill patternType="solid">
                  <bgColor rgb="FFD9E1F2"/>
                </patternFill>
              </fill>
            </x14:dxf>
          </x14:cfRule>
          <xm:sqref>B5:J13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4" x14ac:dyDescent="0.3"/>
  <cols>
    <col min="1" max="1" width="18" customWidth="1"/>
    <col min="2" max="3" width="14" customWidth="1"/>
    <col min="4" max="4" width="18" customWidth="1"/>
    <col min="5" max="5" width="16" customWidth="1"/>
  </cols>
  <sheetData>
    <row r="1" spans="1:5" ht="28.8" x14ac:dyDescent="0.3">
      <c r="A1" s="1" t="s">
        <v>122</v>
      </c>
      <c r="B1" s="1" t="s">
        <v>158</v>
      </c>
      <c r="C1" s="1" t="s">
        <v>31</v>
      </c>
      <c r="D1" s="1" t="s">
        <v>265</v>
      </c>
      <c r="E1" s="1" t="s">
        <v>266</v>
      </c>
    </row>
    <row r="2" spans="1:5" x14ac:dyDescent="0.3">
      <c r="A2" t="s">
        <v>18</v>
      </c>
      <c r="B2" t="s">
        <v>267</v>
      </c>
      <c r="C2" t="s">
        <v>268</v>
      </c>
      <c r="D2" t="s">
        <v>60</v>
      </c>
      <c r="E2" t="s">
        <v>269</v>
      </c>
    </row>
    <row r="3" spans="1:5" x14ac:dyDescent="0.3">
      <c r="A3" t="s">
        <v>270</v>
      </c>
      <c r="B3" t="s">
        <v>271</v>
      </c>
      <c r="C3" t="s">
        <v>272</v>
      </c>
      <c r="D3" t="s">
        <v>62</v>
      </c>
      <c r="E3" t="s">
        <v>273</v>
      </c>
    </row>
    <row r="4" spans="1:5" x14ac:dyDescent="0.3">
      <c r="A4" t="s">
        <v>274</v>
      </c>
      <c r="B4" t="s">
        <v>275</v>
      </c>
      <c r="C4" t="s">
        <v>276</v>
      </c>
      <c r="D4" t="s">
        <v>64</v>
      </c>
      <c r="E4" t="s">
        <v>277</v>
      </c>
    </row>
    <row r="5" spans="1:5" x14ac:dyDescent="0.3">
      <c r="A5" t="s">
        <v>278</v>
      </c>
      <c r="B5" t="s">
        <v>279</v>
      </c>
      <c r="C5" t="s">
        <v>112</v>
      </c>
      <c r="D5" t="s">
        <v>66</v>
      </c>
      <c r="E5" t="s">
        <v>280</v>
      </c>
    </row>
    <row r="6" spans="1:5" x14ac:dyDescent="0.3">
      <c r="A6" t="s">
        <v>281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3"/>
  <sheetViews>
    <sheetView showGridLines="0" topLeftCell="J1" workbookViewId="0">
      <pane ySplit="7" topLeftCell="A41" activePane="bottomLeft" state="frozen"/>
      <selection pane="bottomLeft" sqref="A1:S1"/>
    </sheetView>
  </sheetViews>
  <sheetFormatPr defaultRowHeight="14.4" x14ac:dyDescent="0.3"/>
  <cols>
    <col min="1" max="1" width="16" customWidth="1"/>
    <col min="2" max="2" width="22" customWidth="1"/>
    <col min="3" max="3" width="28" customWidth="1"/>
    <col min="4" max="4" width="40" customWidth="1"/>
    <col min="5" max="5" width="44" customWidth="1"/>
    <col min="6" max="6" width="32" customWidth="1"/>
    <col min="7" max="7" width="44" customWidth="1"/>
    <col min="8" max="8" width="20" customWidth="1"/>
    <col min="9" max="9" width="14" customWidth="1"/>
    <col min="10" max="11" width="12" customWidth="1"/>
    <col min="12" max="13" width="16" customWidth="1"/>
    <col min="14" max="14" width="36" customWidth="1"/>
    <col min="15" max="15" width="40" customWidth="1"/>
    <col min="16" max="16" width="12" customWidth="1"/>
    <col min="17" max="17" width="14" customWidth="1"/>
    <col min="18" max="18" width="12" customWidth="1"/>
    <col min="19" max="19" width="18" customWidth="1"/>
  </cols>
  <sheetData>
    <row r="1" spans="1:19" ht="28.05" customHeight="1" x14ac:dyDescent="0.3">
      <c r="A1" s="41" t="s">
        <v>282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19" ht="22.05" customHeight="1" x14ac:dyDescent="0.3">
      <c r="A2" s="35" t="s">
        <v>283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ht="22.05" customHeight="1" x14ac:dyDescent="0.3">
      <c r="A3" s="35" t="str">
        <f>"Total cases: 74  |  Executed: "&amp;COUNTIF(I8:I500,"&lt;&gt;Not Executed")-COUNTIF(I8:I500,"")&amp;"  |  Pass: "&amp;COUNTIF(I8:I500,"Pass")&amp;"  |  Fail: "&amp;COUNTIF(I8:I500,"Fail")&amp;"  |  Blocked: "&amp;COUNTIF(I8:I500,"Blocked")&amp;"  |  Pass %: "&amp;IF(COUNTIF(I8:I500,"Pass")+COUNTIF(I8:I500,"Fail")+COUNTIF(I8:I500,"Pass with Note")+COUNTIF(I8:I500,"Blocked")=0,"—",TEXT(COUNTIF(I8:I500,"Pass")/(COUNTIF(I8:I500,"Pass")+COUNTIF(I8:I500,"Fail")+COUNTIF(I8:I500,"Pass with Note")+COUNTIF(I8:I500,"Blocked")),"0%"))</f>
        <v>Total cases: 74  |  Executed: 0  |  Pass: 0  |  Fail: 0  |  Blocked: 0  |  Pass %: —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1:19" ht="7.95" customHeight="1" x14ac:dyDescent="0.3"/>
    <row r="5" spans="1:19" ht="22.05" customHeight="1" x14ac:dyDescent="0.3">
      <c r="A5" s="38" t="s">
        <v>284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</row>
    <row r="6" spans="1:19" ht="7.95" customHeight="1" x14ac:dyDescent="0.3"/>
    <row r="7" spans="1:19" ht="28.05" customHeight="1" x14ac:dyDescent="0.3">
      <c r="A7" s="13" t="s">
        <v>285</v>
      </c>
      <c r="B7" s="13" t="s">
        <v>286</v>
      </c>
      <c r="C7" s="13" t="s">
        <v>287</v>
      </c>
      <c r="D7" s="13" t="s">
        <v>288</v>
      </c>
      <c r="E7" s="13" t="s">
        <v>289</v>
      </c>
      <c r="F7" s="13" t="s">
        <v>290</v>
      </c>
      <c r="G7" s="13" t="s">
        <v>291</v>
      </c>
      <c r="H7" s="13" t="s">
        <v>292</v>
      </c>
      <c r="I7" s="13" t="s">
        <v>122</v>
      </c>
      <c r="J7" s="13" t="s">
        <v>158</v>
      </c>
      <c r="K7" s="13" t="s">
        <v>31</v>
      </c>
      <c r="L7" s="13" t="s">
        <v>266</v>
      </c>
      <c r="M7" s="13" t="s">
        <v>265</v>
      </c>
      <c r="N7" s="13" t="s">
        <v>293</v>
      </c>
      <c r="O7" s="13" t="s">
        <v>294</v>
      </c>
      <c r="P7" s="13" t="s">
        <v>295</v>
      </c>
      <c r="Q7" s="13" t="s">
        <v>296</v>
      </c>
      <c r="R7" s="13" t="s">
        <v>297</v>
      </c>
      <c r="S7" s="13" t="s">
        <v>298</v>
      </c>
    </row>
    <row r="8" spans="1:19" ht="22.05" customHeight="1" x14ac:dyDescent="0.3">
      <c r="A8" s="40" t="s">
        <v>299</v>
      </c>
      <c r="B8" s="40"/>
      <c r="C8" s="40"/>
      <c r="D8" s="40"/>
      <c r="E8" s="40"/>
      <c r="F8" s="40"/>
      <c r="G8" s="40"/>
    </row>
    <row r="9" spans="1:19" ht="72" customHeight="1" x14ac:dyDescent="0.3">
      <c r="A9" s="4" t="s">
        <v>300</v>
      </c>
      <c r="B9" s="4" t="s">
        <v>301</v>
      </c>
      <c r="C9" s="4" t="s">
        <v>302</v>
      </c>
      <c r="D9" s="4" t="s">
        <v>303</v>
      </c>
      <c r="E9" s="4" t="s">
        <v>304</v>
      </c>
      <c r="F9" s="4" t="s">
        <v>305</v>
      </c>
      <c r="G9" s="4" t="s">
        <v>306</v>
      </c>
      <c r="H9" s="4" t="s">
        <v>307</v>
      </c>
      <c r="I9" s="4" t="s">
        <v>18</v>
      </c>
      <c r="J9" s="4" t="s">
        <v>267</v>
      </c>
      <c r="K9" s="4" t="s">
        <v>112</v>
      </c>
      <c r="L9" s="4" t="s">
        <v>280</v>
      </c>
      <c r="M9" s="4" t="s">
        <v>66</v>
      </c>
      <c r="N9" s="4" t="s">
        <v>109</v>
      </c>
      <c r="O9" s="4" t="s">
        <v>308</v>
      </c>
      <c r="P9" s="4" t="s">
        <v>307</v>
      </c>
      <c r="Q9" s="4" t="s">
        <v>307</v>
      </c>
      <c r="R9" s="4" t="s">
        <v>307</v>
      </c>
      <c r="S9" s="4" t="s">
        <v>307</v>
      </c>
    </row>
    <row r="10" spans="1:19" ht="72" customHeight="1" x14ac:dyDescent="0.3">
      <c r="A10" s="3" t="s">
        <v>309</v>
      </c>
      <c r="B10" s="3" t="s">
        <v>310</v>
      </c>
      <c r="C10" s="3" t="s">
        <v>311</v>
      </c>
      <c r="D10" s="3" t="s">
        <v>312</v>
      </c>
      <c r="E10" s="3" t="s">
        <v>313</v>
      </c>
      <c r="F10" s="3" t="s">
        <v>314</v>
      </c>
      <c r="G10" s="3" t="s">
        <v>315</v>
      </c>
      <c r="H10" s="3" t="s">
        <v>307</v>
      </c>
      <c r="I10" s="3" t="s">
        <v>18</v>
      </c>
      <c r="J10" s="3" t="s">
        <v>271</v>
      </c>
      <c r="K10" s="3" t="s">
        <v>112</v>
      </c>
      <c r="L10" s="3" t="s">
        <v>280</v>
      </c>
      <c r="M10" s="3" t="s">
        <v>66</v>
      </c>
      <c r="N10" s="3" t="s">
        <v>109</v>
      </c>
      <c r="O10" s="3" t="s">
        <v>316</v>
      </c>
      <c r="P10" s="3" t="s">
        <v>307</v>
      </c>
      <c r="Q10" s="3" t="s">
        <v>307</v>
      </c>
      <c r="R10" s="3" t="s">
        <v>307</v>
      </c>
      <c r="S10" s="3" t="s">
        <v>307</v>
      </c>
    </row>
    <row r="11" spans="1:19" ht="72" customHeight="1" x14ac:dyDescent="0.3">
      <c r="A11" s="4" t="s">
        <v>317</v>
      </c>
      <c r="B11" s="4" t="s">
        <v>318</v>
      </c>
      <c r="C11" s="4" t="s">
        <v>319</v>
      </c>
      <c r="D11" s="4" t="s">
        <v>320</v>
      </c>
      <c r="E11" s="4" t="s">
        <v>321</v>
      </c>
      <c r="F11" s="4" t="s">
        <v>322</v>
      </c>
      <c r="G11" s="4" t="s">
        <v>323</v>
      </c>
      <c r="H11" s="4" t="s">
        <v>307</v>
      </c>
      <c r="I11" s="4" t="s">
        <v>18</v>
      </c>
      <c r="J11" s="4" t="s">
        <v>267</v>
      </c>
      <c r="K11" s="4" t="s">
        <v>112</v>
      </c>
      <c r="L11" s="4" t="s">
        <v>273</v>
      </c>
      <c r="M11" s="4" t="s">
        <v>62</v>
      </c>
      <c r="N11" s="4" t="s">
        <v>324</v>
      </c>
      <c r="O11" s="4" t="s">
        <v>176</v>
      </c>
      <c r="P11" s="4" t="s">
        <v>307</v>
      </c>
      <c r="Q11" s="4" t="s">
        <v>307</v>
      </c>
      <c r="R11" s="4" t="s">
        <v>307</v>
      </c>
      <c r="S11" s="4" t="s">
        <v>307</v>
      </c>
    </row>
    <row r="12" spans="1:19" ht="72" customHeight="1" x14ac:dyDescent="0.3">
      <c r="A12" s="3" t="s">
        <v>325</v>
      </c>
      <c r="B12" s="3" t="s">
        <v>326</v>
      </c>
      <c r="C12" s="3" t="s">
        <v>327</v>
      </c>
      <c r="D12" s="3" t="s">
        <v>328</v>
      </c>
      <c r="E12" s="3" t="s">
        <v>329</v>
      </c>
      <c r="F12" s="3" t="s">
        <v>330</v>
      </c>
      <c r="G12" s="3" t="s">
        <v>331</v>
      </c>
      <c r="H12" s="3" t="s">
        <v>307</v>
      </c>
      <c r="I12" s="3" t="s">
        <v>18</v>
      </c>
      <c r="J12" s="3" t="s">
        <v>275</v>
      </c>
      <c r="K12" s="3" t="s">
        <v>112</v>
      </c>
      <c r="L12" s="3" t="s">
        <v>280</v>
      </c>
      <c r="M12" s="3" t="s">
        <v>66</v>
      </c>
      <c r="N12" s="3" t="s">
        <v>109</v>
      </c>
      <c r="O12" s="3" t="s">
        <v>332</v>
      </c>
      <c r="P12" s="3" t="s">
        <v>307</v>
      </c>
      <c r="Q12" s="3" t="s">
        <v>307</v>
      </c>
      <c r="R12" s="3" t="s">
        <v>307</v>
      </c>
      <c r="S12" s="3" t="s">
        <v>307</v>
      </c>
    </row>
    <row r="13" spans="1:19" ht="22.05" customHeight="1" x14ac:dyDescent="0.3">
      <c r="A13" s="40" t="s">
        <v>333</v>
      </c>
      <c r="B13" s="40"/>
      <c r="C13" s="40"/>
      <c r="D13" s="40"/>
      <c r="E13" s="40"/>
      <c r="F13" s="40"/>
      <c r="G13" s="40"/>
    </row>
    <row r="14" spans="1:19" ht="72" customHeight="1" x14ac:dyDescent="0.3">
      <c r="A14" s="4" t="s">
        <v>334</v>
      </c>
      <c r="B14" s="4" t="s">
        <v>33</v>
      </c>
      <c r="C14" s="4" t="s">
        <v>335</v>
      </c>
      <c r="D14" s="4" t="s">
        <v>336</v>
      </c>
      <c r="E14" s="4" t="s">
        <v>337</v>
      </c>
      <c r="F14" s="4" t="s">
        <v>338</v>
      </c>
      <c r="G14" s="4" t="s">
        <v>339</v>
      </c>
      <c r="H14" s="4" t="s">
        <v>307</v>
      </c>
      <c r="I14" s="4" t="s">
        <v>18</v>
      </c>
      <c r="J14" s="4" t="s">
        <v>267</v>
      </c>
      <c r="K14" s="4" t="s">
        <v>268</v>
      </c>
      <c r="L14" s="4" t="s">
        <v>273</v>
      </c>
      <c r="M14" s="4" t="s">
        <v>62</v>
      </c>
      <c r="N14" s="4" t="s">
        <v>340</v>
      </c>
      <c r="O14" s="4" t="s">
        <v>176</v>
      </c>
      <c r="P14" s="4" t="s">
        <v>307</v>
      </c>
      <c r="Q14" s="4" t="s">
        <v>307</v>
      </c>
      <c r="R14" s="4" t="s">
        <v>307</v>
      </c>
      <c r="S14" s="4" t="s">
        <v>307</v>
      </c>
    </row>
    <row r="15" spans="1:19" ht="72" customHeight="1" x14ac:dyDescent="0.3">
      <c r="A15" s="3" t="s">
        <v>341</v>
      </c>
      <c r="B15" s="3" t="s">
        <v>33</v>
      </c>
      <c r="C15" s="3" t="s">
        <v>342</v>
      </c>
      <c r="D15" s="3" t="s">
        <v>343</v>
      </c>
      <c r="E15" s="3" t="s">
        <v>344</v>
      </c>
      <c r="F15" s="3" t="s">
        <v>345</v>
      </c>
      <c r="G15" s="3" t="s">
        <v>346</v>
      </c>
      <c r="H15" s="3" t="s">
        <v>307</v>
      </c>
      <c r="I15" s="3" t="s">
        <v>18</v>
      </c>
      <c r="J15" s="3" t="s">
        <v>271</v>
      </c>
      <c r="K15" s="3" t="s">
        <v>268</v>
      </c>
      <c r="L15" s="3" t="s">
        <v>280</v>
      </c>
      <c r="M15" s="3" t="s">
        <v>66</v>
      </c>
      <c r="N15" s="3" t="s">
        <v>109</v>
      </c>
      <c r="O15" s="3" t="s">
        <v>347</v>
      </c>
      <c r="P15" s="3" t="s">
        <v>307</v>
      </c>
      <c r="Q15" s="3" t="s">
        <v>307</v>
      </c>
      <c r="R15" s="3" t="s">
        <v>307</v>
      </c>
      <c r="S15" s="3" t="s">
        <v>307</v>
      </c>
    </row>
    <row r="16" spans="1:19" ht="72" customHeight="1" x14ac:dyDescent="0.3">
      <c r="A16" s="4" t="s">
        <v>348</v>
      </c>
      <c r="B16" s="4" t="s">
        <v>33</v>
      </c>
      <c r="C16" s="4" t="s">
        <v>349</v>
      </c>
      <c r="D16" s="4" t="s">
        <v>350</v>
      </c>
      <c r="E16" s="4" t="s">
        <v>351</v>
      </c>
      <c r="F16" s="4" t="s">
        <v>352</v>
      </c>
      <c r="G16" s="4" t="s">
        <v>353</v>
      </c>
      <c r="H16" s="4" t="s">
        <v>307</v>
      </c>
      <c r="I16" s="4" t="s">
        <v>18</v>
      </c>
      <c r="J16" s="4" t="s">
        <v>271</v>
      </c>
      <c r="K16" s="4" t="s">
        <v>268</v>
      </c>
      <c r="L16" s="4" t="s">
        <v>273</v>
      </c>
      <c r="M16" s="4" t="s">
        <v>62</v>
      </c>
      <c r="N16" s="4" t="s">
        <v>354</v>
      </c>
      <c r="O16" s="4" t="s">
        <v>176</v>
      </c>
      <c r="P16" s="4" t="s">
        <v>307</v>
      </c>
      <c r="Q16" s="4" t="s">
        <v>307</v>
      </c>
      <c r="R16" s="4" t="s">
        <v>307</v>
      </c>
      <c r="S16" s="4" t="s">
        <v>307</v>
      </c>
    </row>
    <row r="17" spans="1:19" ht="72" customHeight="1" x14ac:dyDescent="0.3">
      <c r="A17" s="3" t="s">
        <v>355</v>
      </c>
      <c r="B17" s="3" t="s">
        <v>36</v>
      </c>
      <c r="C17" s="3" t="s">
        <v>356</v>
      </c>
      <c r="D17" s="3" t="s">
        <v>357</v>
      </c>
      <c r="E17" s="3" t="s">
        <v>358</v>
      </c>
      <c r="F17" s="3" t="s">
        <v>359</v>
      </c>
      <c r="G17" s="3" t="s">
        <v>360</v>
      </c>
      <c r="H17" s="3" t="s">
        <v>307</v>
      </c>
      <c r="I17" s="3" t="s">
        <v>18</v>
      </c>
      <c r="J17" s="3" t="s">
        <v>267</v>
      </c>
      <c r="K17" s="3" t="s">
        <v>268</v>
      </c>
      <c r="L17" s="3" t="s">
        <v>273</v>
      </c>
      <c r="M17" s="3" t="s">
        <v>62</v>
      </c>
      <c r="N17" s="3" t="s">
        <v>361</v>
      </c>
      <c r="O17" s="3" t="s">
        <v>176</v>
      </c>
      <c r="P17" s="3" t="s">
        <v>307</v>
      </c>
      <c r="Q17" s="3" t="s">
        <v>307</v>
      </c>
      <c r="R17" s="3" t="s">
        <v>307</v>
      </c>
      <c r="S17" s="3" t="s">
        <v>307</v>
      </c>
    </row>
    <row r="18" spans="1:19" ht="72" customHeight="1" x14ac:dyDescent="0.3">
      <c r="A18" s="4" t="s">
        <v>362</v>
      </c>
      <c r="B18" s="4" t="s">
        <v>36</v>
      </c>
      <c r="C18" s="4" t="s">
        <v>363</v>
      </c>
      <c r="D18" s="4" t="s">
        <v>364</v>
      </c>
      <c r="E18" s="4" t="s">
        <v>365</v>
      </c>
      <c r="F18" s="4" t="s">
        <v>366</v>
      </c>
      <c r="G18" s="4" t="s">
        <v>367</v>
      </c>
      <c r="H18" s="4" t="s">
        <v>307</v>
      </c>
      <c r="I18" s="4" t="s">
        <v>18</v>
      </c>
      <c r="J18" s="4" t="s">
        <v>271</v>
      </c>
      <c r="K18" s="4" t="s">
        <v>268</v>
      </c>
      <c r="L18" s="4" t="s">
        <v>273</v>
      </c>
      <c r="M18" s="4" t="s">
        <v>62</v>
      </c>
      <c r="N18" s="4" t="s">
        <v>368</v>
      </c>
      <c r="O18" s="4" t="s">
        <v>176</v>
      </c>
      <c r="P18" s="4" t="s">
        <v>307</v>
      </c>
      <c r="Q18" s="4" t="s">
        <v>307</v>
      </c>
      <c r="R18" s="4" t="s">
        <v>307</v>
      </c>
      <c r="S18" s="4" t="s">
        <v>307</v>
      </c>
    </row>
    <row r="19" spans="1:19" ht="72" customHeight="1" x14ac:dyDescent="0.3">
      <c r="A19" s="3" t="s">
        <v>369</v>
      </c>
      <c r="B19" s="3" t="s">
        <v>38</v>
      </c>
      <c r="C19" s="3" t="s">
        <v>370</v>
      </c>
      <c r="D19" s="3" t="s">
        <v>371</v>
      </c>
      <c r="E19" s="3" t="s">
        <v>372</v>
      </c>
      <c r="F19" s="3" t="s">
        <v>373</v>
      </c>
      <c r="G19" s="3" t="s">
        <v>374</v>
      </c>
      <c r="H19" s="3" t="s">
        <v>307</v>
      </c>
      <c r="I19" s="3" t="s">
        <v>18</v>
      </c>
      <c r="J19" s="3" t="s">
        <v>267</v>
      </c>
      <c r="K19" s="3" t="s">
        <v>268</v>
      </c>
      <c r="L19" s="3" t="s">
        <v>273</v>
      </c>
      <c r="M19" s="3" t="s">
        <v>62</v>
      </c>
      <c r="N19" s="3" t="s">
        <v>375</v>
      </c>
      <c r="O19" s="3" t="s">
        <v>176</v>
      </c>
      <c r="P19" s="3" t="s">
        <v>307</v>
      </c>
      <c r="Q19" s="3" t="s">
        <v>307</v>
      </c>
      <c r="R19" s="3" t="s">
        <v>307</v>
      </c>
      <c r="S19" s="3" t="s">
        <v>307</v>
      </c>
    </row>
    <row r="20" spans="1:19" ht="72" customHeight="1" x14ac:dyDescent="0.3">
      <c r="A20" s="4" t="s">
        <v>376</v>
      </c>
      <c r="B20" s="4" t="s">
        <v>38</v>
      </c>
      <c r="C20" s="4" t="s">
        <v>377</v>
      </c>
      <c r="D20" s="4" t="s">
        <v>378</v>
      </c>
      <c r="E20" s="4" t="s">
        <v>379</v>
      </c>
      <c r="F20" s="4" t="s">
        <v>380</v>
      </c>
      <c r="G20" s="4" t="s">
        <v>381</v>
      </c>
      <c r="H20" s="4" t="s">
        <v>307</v>
      </c>
      <c r="I20" s="4" t="s">
        <v>18</v>
      </c>
      <c r="J20" s="4" t="s">
        <v>271</v>
      </c>
      <c r="K20" s="4" t="s">
        <v>268</v>
      </c>
      <c r="L20" s="4" t="s">
        <v>273</v>
      </c>
      <c r="M20" s="4" t="s">
        <v>62</v>
      </c>
      <c r="N20" s="4" t="s">
        <v>382</v>
      </c>
      <c r="O20" s="4" t="s">
        <v>176</v>
      </c>
      <c r="P20" s="4" t="s">
        <v>307</v>
      </c>
      <c r="Q20" s="4" t="s">
        <v>307</v>
      </c>
      <c r="R20" s="4" t="s">
        <v>307</v>
      </c>
      <c r="S20" s="4" t="s">
        <v>307</v>
      </c>
    </row>
    <row r="21" spans="1:19" ht="72" customHeight="1" x14ac:dyDescent="0.3">
      <c r="A21" s="3" t="s">
        <v>383</v>
      </c>
      <c r="B21" s="3" t="s">
        <v>40</v>
      </c>
      <c r="C21" s="3" t="s">
        <v>384</v>
      </c>
      <c r="D21" s="3" t="s">
        <v>385</v>
      </c>
      <c r="E21" s="3" t="s">
        <v>386</v>
      </c>
      <c r="F21" s="3" t="s">
        <v>387</v>
      </c>
      <c r="G21" s="3" t="s">
        <v>388</v>
      </c>
      <c r="H21" s="3" t="s">
        <v>307</v>
      </c>
      <c r="I21" s="3" t="s">
        <v>18</v>
      </c>
      <c r="J21" s="3" t="s">
        <v>267</v>
      </c>
      <c r="K21" s="3" t="s">
        <v>268</v>
      </c>
      <c r="L21" s="3" t="s">
        <v>273</v>
      </c>
      <c r="M21" s="3" t="s">
        <v>62</v>
      </c>
      <c r="N21" s="3" t="s">
        <v>389</v>
      </c>
      <c r="O21" s="3" t="s">
        <v>176</v>
      </c>
      <c r="P21" s="3" t="s">
        <v>307</v>
      </c>
      <c r="Q21" s="3" t="s">
        <v>307</v>
      </c>
      <c r="R21" s="3" t="s">
        <v>307</v>
      </c>
      <c r="S21" s="3" t="s">
        <v>307</v>
      </c>
    </row>
    <row r="22" spans="1:19" ht="72" customHeight="1" x14ac:dyDescent="0.3">
      <c r="A22" s="4" t="s">
        <v>390</v>
      </c>
      <c r="B22" s="4" t="s">
        <v>40</v>
      </c>
      <c r="C22" s="4" t="s">
        <v>391</v>
      </c>
      <c r="D22" s="4" t="s">
        <v>392</v>
      </c>
      <c r="E22" s="4" t="s">
        <v>393</v>
      </c>
      <c r="F22" s="4" t="s">
        <v>394</v>
      </c>
      <c r="G22" s="4" t="s">
        <v>395</v>
      </c>
      <c r="H22" s="4" t="s">
        <v>307</v>
      </c>
      <c r="I22" s="4" t="s">
        <v>18</v>
      </c>
      <c r="J22" s="4" t="s">
        <v>271</v>
      </c>
      <c r="K22" s="4" t="s">
        <v>268</v>
      </c>
      <c r="L22" s="4" t="s">
        <v>273</v>
      </c>
      <c r="M22" s="4" t="s">
        <v>62</v>
      </c>
      <c r="N22" s="4" t="s">
        <v>396</v>
      </c>
      <c r="O22" s="4" t="s">
        <v>176</v>
      </c>
      <c r="P22" s="4" t="s">
        <v>307</v>
      </c>
      <c r="Q22" s="4" t="s">
        <v>307</v>
      </c>
      <c r="R22" s="4" t="s">
        <v>307</v>
      </c>
      <c r="S22" s="4" t="s">
        <v>307</v>
      </c>
    </row>
    <row r="23" spans="1:19" ht="72" customHeight="1" x14ac:dyDescent="0.3">
      <c r="A23" s="3" t="s">
        <v>397</v>
      </c>
      <c r="B23" s="3" t="s">
        <v>398</v>
      </c>
      <c r="C23" s="3" t="s">
        <v>399</v>
      </c>
      <c r="D23" s="3" t="s">
        <v>400</v>
      </c>
      <c r="E23" s="3" t="s">
        <v>401</v>
      </c>
      <c r="F23" s="3" t="s">
        <v>402</v>
      </c>
      <c r="G23" s="3" t="s">
        <v>403</v>
      </c>
      <c r="H23" s="3" t="s">
        <v>307</v>
      </c>
      <c r="I23" s="3" t="s">
        <v>18</v>
      </c>
      <c r="J23" s="3" t="s">
        <v>271</v>
      </c>
      <c r="K23" s="3" t="s">
        <v>268</v>
      </c>
      <c r="L23" s="3" t="s">
        <v>280</v>
      </c>
      <c r="M23" s="3" t="s">
        <v>66</v>
      </c>
      <c r="N23" s="3" t="s">
        <v>109</v>
      </c>
      <c r="O23" s="3" t="s">
        <v>404</v>
      </c>
      <c r="P23" s="3" t="s">
        <v>307</v>
      </c>
      <c r="Q23" s="3" t="s">
        <v>307</v>
      </c>
      <c r="R23" s="3" t="s">
        <v>307</v>
      </c>
      <c r="S23" s="3" t="s">
        <v>307</v>
      </c>
    </row>
    <row r="24" spans="1:19" ht="22.05" customHeight="1" x14ac:dyDescent="0.3">
      <c r="A24" s="40" t="s">
        <v>405</v>
      </c>
      <c r="B24" s="40"/>
      <c r="C24" s="40"/>
      <c r="D24" s="40"/>
      <c r="E24" s="40"/>
      <c r="F24" s="40"/>
      <c r="G24" s="40"/>
    </row>
    <row r="25" spans="1:19" ht="72" customHeight="1" x14ac:dyDescent="0.3">
      <c r="A25" s="4" t="s">
        <v>406</v>
      </c>
      <c r="B25" s="4" t="s">
        <v>42</v>
      </c>
      <c r="C25" s="4" t="s">
        <v>407</v>
      </c>
      <c r="D25" s="4" t="s">
        <v>408</v>
      </c>
      <c r="E25" s="4" t="s">
        <v>409</v>
      </c>
      <c r="F25" s="4" t="s">
        <v>410</v>
      </c>
      <c r="G25" s="4" t="s">
        <v>411</v>
      </c>
      <c r="H25" s="4" t="s">
        <v>307</v>
      </c>
      <c r="I25" s="4" t="s">
        <v>18</v>
      </c>
      <c r="J25" s="4" t="s">
        <v>267</v>
      </c>
      <c r="K25" s="4" t="s">
        <v>268</v>
      </c>
      <c r="L25" s="4" t="s">
        <v>277</v>
      </c>
      <c r="M25" s="4" t="s">
        <v>64</v>
      </c>
      <c r="N25" s="4" t="s">
        <v>412</v>
      </c>
      <c r="O25" s="4" t="s">
        <v>172</v>
      </c>
      <c r="P25" s="4" t="s">
        <v>307</v>
      </c>
      <c r="Q25" s="4" t="s">
        <v>307</v>
      </c>
      <c r="R25" s="4" t="s">
        <v>307</v>
      </c>
      <c r="S25" s="4" t="s">
        <v>307</v>
      </c>
    </row>
    <row r="26" spans="1:19" ht="72" customHeight="1" x14ac:dyDescent="0.3">
      <c r="A26" s="3" t="s">
        <v>413</v>
      </c>
      <c r="B26" s="3" t="s">
        <v>42</v>
      </c>
      <c r="C26" s="3" t="s">
        <v>414</v>
      </c>
      <c r="D26" s="3" t="s">
        <v>415</v>
      </c>
      <c r="E26" s="3" t="s">
        <v>416</v>
      </c>
      <c r="F26" s="3" t="s">
        <v>417</v>
      </c>
      <c r="G26" s="3" t="s">
        <v>418</v>
      </c>
      <c r="H26" s="3" t="s">
        <v>307</v>
      </c>
      <c r="I26" s="3" t="s">
        <v>18</v>
      </c>
      <c r="J26" s="3" t="s">
        <v>267</v>
      </c>
      <c r="K26" s="3" t="s">
        <v>268</v>
      </c>
      <c r="L26" s="3" t="s">
        <v>277</v>
      </c>
      <c r="M26" s="3" t="s">
        <v>64</v>
      </c>
      <c r="N26" s="3" t="s">
        <v>419</v>
      </c>
      <c r="O26" s="3" t="s">
        <v>172</v>
      </c>
      <c r="P26" s="3" t="s">
        <v>307</v>
      </c>
      <c r="Q26" s="3" t="s">
        <v>307</v>
      </c>
      <c r="R26" s="3" t="s">
        <v>307</v>
      </c>
      <c r="S26" s="3" t="s">
        <v>307</v>
      </c>
    </row>
    <row r="27" spans="1:19" ht="72" customHeight="1" x14ac:dyDescent="0.3">
      <c r="A27" s="4" t="s">
        <v>420</v>
      </c>
      <c r="B27" s="4" t="s">
        <v>42</v>
      </c>
      <c r="C27" s="4" t="s">
        <v>421</v>
      </c>
      <c r="D27" s="4" t="s">
        <v>422</v>
      </c>
      <c r="E27" s="4" t="s">
        <v>423</v>
      </c>
      <c r="F27" s="4" t="s">
        <v>424</v>
      </c>
      <c r="G27" s="4" t="s">
        <v>425</v>
      </c>
      <c r="H27" s="4" t="s">
        <v>307</v>
      </c>
      <c r="I27" s="4" t="s">
        <v>18</v>
      </c>
      <c r="J27" s="4" t="s">
        <v>267</v>
      </c>
      <c r="K27" s="4" t="s">
        <v>276</v>
      </c>
      <c r="L27" s="4" t="s">
        <v>277</v>
      </c>
      <c r="M27" s="4" t="s">
        <v>64</v>
      </c>
      <c r="N27" s="4" t="s">
        <v>426</v>
      </c>
      <c r="O27" s="4" t="s">
        <v>172</v>
      </c>
      <c r="P27" s="4" t="s">
        <v>307</v>
      </c>
      <c r="Q27" s="4" t="s">
        <v>307</v>
      </c>
      <c r="R27" s="4" t="s">
        <v>307</v>
      </c>
      <c r="S27" s="4" t="s">
        <v>307</v>
      </c>
    </row>
    <row r="28" spans="1:19" ht="72" customHeight="1" x14ac:dyDescent="0.3">
      <c r="A28" s="3" t="s">
        <v>427</v>
      </c>
      <c r="B28" s="3" t="s">
        <v>42</v>
      </c>
      <c r="C28" s="3" t="s">
        <v>428</v>
      </c>
      <c r="D28" s="3" t="s">
        <v>429</v>
      </c>
      <c r="E28" s="3" t="s">
        <v>430</v>
      </c>
      <c r="F28" s="3" t="s">
        <v>431</v>
      </c>
      <c r="G28" s="3" t="s">
        <v>432</v>
      </c>
      <c r="H28" s="3" t="s">
        <v>307</v>
      </c>
      <c r="I28" s="3" t="s">
        <v>18</v>
      </c>
      <c r="J28" s="3" t="s">
        <v>271</v>
      </c>
      <c r="K28" s="3" t="s">
        <v>268</v>
      </c>
      <c r="L28" s="3" t="s">
        <v>277</v>
      </c>
      <c r="M28" s="3" t="s">
        <v>64</v>
      </c>
      <c r="N28" s="3" t="s">
        <v>433</v>
      </c>
      <c r="O28" s="3" t="s">
        <v>172</v>
      </c>
      <c r="P28" s="3" t="s">
        <v>307</v>
      </c>
      <c r="Q28" s="3" t="s">
        <v>307</v>
      </c>
      <c r="R28" s="3" t="s">
        <v>307</v>
      </c>
      <c r="S28" s="3" t="s">
        <v>307</v>
      </c>
    </row>
    <row r="29" spans="1:19" ht="72" customHeight="1" x14ac:dyDescent="0.3">
      <c r="A29" s="4" t="s">
        <v>434</v>
      </c>
      <c r="B29" s="4" t="s">
        <v>42</v>
      </c>
      <c r="C29" s="4" t="s">
        <v>435</v>
      </c>
      <c r="D29" s="4" t="s">
        <v>436</v>
      </c>
      <c r="E29" s="4" t="s">
        <v>437</v>
      </c>
      <c r="F29" s="4" t="s">
        <v>438</v>
      </c>
      <c r="G29" s="4" t="s">
        <v>439</v>
      </c>
      <c r="H29" s="4" t="s">
        <v>307</v>
      </c>
      <c r="I29" s="4" t="s">
        <v>18</v>
      </c>
      <c r="J29" s="4" t="s">
        <v>271</v>
      </c>
      <c r="K29" s="4" t="s">
        <v>268</v>
      </c>
      <c r="L29" s="4" t="s">
        <v>277</v>
      </c>
      <c r="M29" s="4" t="s">
        <v>64</v>
      </c>
      <c r="N29" s="4" t="s">
        <v>440</v>
      </c>
      <c r="O29" s="4" t="s">
        <v>172</v>
      </c>
      <c r="P29" s="4" t="s">
        <v>307</v>
      </c>
      <c r="Q29" s="4" t="s">
        <v>307</v>
      </c>
      <c r="R29" s="4" t="s">
        <v>307</v>
      </c>
      <c r="S29" s="4" t="s">
        <v>307</v>
      </c>
    </row>
    <row r="30" spans="1:19" ht="72" customHeight="1" x14ac:dyDescent="0.3">
      <c r="A30" s="3" t="s">
        <v>441</v>
      </c>
      <c r="B30" s="3" t="s">
        <v>42</v>
      </c>
      <c r="C30" s="3" t="s">
        <v>442</v>
      </c>
      <c r="D30" s="3" t="s">
        <v>443</v>
      </c>
      <c r="E30" s="3" t="s">
        <v>444</v>
      </c>
      <c r="F30" s="3" t="s">
        <v>445</v>
      </c>
      <c r="G30" s="3" t="s">
        <v>446</v>
      </c>
      <c r="H30" s="3" t="s">
        <v>307</v>
      </c>
      <c r="I30" s="3" t="s">
        <v>18</v>
      </c>
      <c r="J30" s="3" t="s">
        <v>275</v>
      </c>
      <c r="K30" s="3" t="s">
        <v>268</v>
      </c>
      <c r="L30" s="3" t="s">
        <v>280</v>
      </c>
      <c r="M30" s="3" t="s">
        <v>66</v>
      </c>
      <c r="N30" s="3" t="s">
        <v>109</v>
      </c>
      <c r="O30" s="3" t="s">
        <v>447</v>
      </c>
      <c r="P30" s="3" t="s">
        <v>307</v>
      </c>
      <c r="Q30" s="3" t="s">
        <v>307</v>
      </c>
      <c r="R30" s="3" t="s">
        <v>307</v>
      </c>
      <c r="S30" s="3" t="s">
        <v>307</v>
      </c>
    </row>
    <row r="31" spans="1:19" ht="22.05" customHeight="1" x14ac:dyDescent="0.3">
      <c r="A31" s="40" t="s">
        <v>448</v>
      </c>
      <c r="B31" s="40"/>
      <c r="C31" s="40"/>
      <c r="D31" s="40"/>
      <c r="E31" s="40"/>
      <c r="F31" s="40"/>
      <c r="G31" s="40"/>
    </row>
    <row r="32" spans="1:19" ht="72" customHeight="1" x14ac:dyDescent="0.3">
      <c r="A32" s="4" t="s">
        <v>449</v>
      </c>
      <c r="B32" s="4" t="s">
        <v>45</v>
      </c>
      <c r="C32" s="4" t="s">
        <v>450</v>
      </c>
      <c r="D32" s="4" t="s">
        <v>451</v>
      </c>
      <c r="E32" s="4" t="s">
        <v>452</v>
      </c>
      <c r="F32" s="4" t="s">
        <v>453</v>
      </c>
      <c r="G32" s="4" t="s">
        <v>454</v>
      </c>
      <c r="H32" s="4" t="s">
        <v>307</v>
      </c>
      <c r="I32" s="4" t="s">
        <v>18</v>
      </c>
      <c r="J32" s="4" t="s">
        <v>267</v>
      </c>
      <c r="K32" s="4" t="s">
        <v>268</v>
      </c>
      <c r="L32" s="4" t="s">
        <v>273</v>
      </c>
      <c r="M32" s="4" t="s">
        <v>62</v>
      </c>
      <c r="N32" s="4" t="s">
        <v>455</v>
      </c>
      <c r="O32" s="4" t="s">
        <v>456</v>
      </c>
      <c r="P32" s="4" t="s">
        <v>307</v>
      </c>
      <c r="Q32" s="4" t="s">
        <v>307</v>
      </c>
      <c r="R32" s="4" t="s">
        <v>307</v>
      </c>
      <c r="S32" s="4" t="s">
        <v>307</v>
      </c>
    </row>
    <row r="33" spans="1:19" ht="72" customHeight="1" x14ac:dyDescent="0.3">
      <c r="A33" s="3" t="s">
        <v>457</v>
      </c>
      <c r="B33" s="3" t="s">
        <v>45</v>
      </c>
      <c r="C33" s="3" t="s">
        <v>458</v>
      </c>
      <c r="D33" s="3" t="s">
        <v>459</v>
      </c>
      <c r="E33" s="3" t="s">
        <v>460</v>
      </c>
      <c r="F33" s="3" t="s">
        <v>461</v>
      </c>
      <c r="G33" s="3" t="s">
        <v>462</v>
      </c>
      <c r="H33" s="3" t="s">
        <v>307</v>
      </c>
      <c r="I33" s="3" t="s">
        <v>18</v>
      </c>
      <c r="J33" s="3" t="s">
        <v>267</v>
      </c>
      <c r="K33" s="3" t="s">
        <v>268</v>
      </c>
      <c r="L33" s="3" t="s">
        <v>273</v>
      </c>
      <c r="M33" s="3" t="s">
        <v>62</v>
      </c>
      <c r="N33" s="3" t="s">
        <v>463</v>
      </c>
      <c r="O33" s="3" t="s">
        <v>169</v>
      </c>
      <c r="P33" s="3" t="s">
        <v>307</v>
      </c>
      <c r="Q33" s="3" t="s">
        <v>307</v>
      </c>
      <c r="R33" s="3" t="s">
        <v>307</v>
      </c>
      <c r="S33" s="3" t="s">
        <v>307</v>
      </c>
    </row>
    <row r="34" spans="1:19" ht="72" customHeight="1" x14ac:dyDescent="0.3">
      <c r="A34" s="4" t="s">
        <v>464</v>
      </c>
      <c r="B34" s="4" t="s">
        <v>45</v>
      </c>
      <c r="C34" s="4" t="s">
        <v>465</v>
      </c>
      <c r="D34" s="4" t="s">
        <v>466</v>
      </c>
      <c r="E34" s="4" t="s">
        <v>467</v>
      </c>
      <c r="F34" s="4" t="s">
        <v>468</v>
      </c>
      <c r="G34" s="4" t="s">
        <v>469</v>
      </c>
      <c r="H34" s="4" t="s">
        <v>307</v>
      </c>
      <c r="I34" s="4" t="s">
        <v>18</v>
      </c>
      <c r="J34" s="4" t="s">
        <v>267</v>
      </c>
      <c r="K34" s="4" t="s">
        <v>268</v>
      </c>
      <c r="L34" s="4" t="s">
        <v>273</v>
      </c>
      <c r="M34" s="4" t="s">
        <v>62</v>
      </c>
      <c r="N34" s="4" t="s">
        <v>470</v>
      </c>
      <c r="O34" s="4" t="s">
        <v>471</v>
      </c>
      <c r="P34" s="4" t="s">
        <v>307</v>
      </c>
      <c r="Q34" s="4" t="s">
        <v>307</v>
      </c>
      <c r="R34" s="4" t="s">
        <v>307</v>
      </c>
      <c r="S34" s="4" t="s">
        <v>307</v>
      </c>
    </row>
    <row r="35" spans="1:19" ht="72" customHeight="1" x14ac:dyDescent="0.3">
      <c r="A35" s="3" t="s">
        <v>472</v>
      </c>
      <c r="B35" s="3" t="s">
        <v>45</v>
      </c>
      <c r="C35" s="3" t="s">
        <v>473</v>
      </c>
      <c r="D35" s="3" t="s">
        <v>474</v>
      </c>
      <c r="E35" s="3" t="s">
        <v>475</v>
      </c>
      <c r="F35" s="3" t="s">
        <v>476</v>
      </c>
      <c r="G35" s="3" t="s">
        <v>477</v>
      </c>
      <c r="H35" s="3" t="s">
        <v>307</v>
      </c>
      <c r="I35" s="3" t="s">
        <v>18</v>
      </c>
      <c r="J35" s="3" t="s">
        <v>271</v>
      </c>
      <c r="K35" s="3" t="s">
        <v>268</v>
      </c>
      <c r="L35" s="3" t="s">
        <v>273</v>
      </c>
      <c r="M35" s="3" t="s">
        <v>62</v>
      </c>
      <c r="N35" s="3" t="s">
        <v>470</v>
      </c>
      <c r="O35" s="3" t="s">
        <v>169</v>
      </c>
      <c r="P35" s="3" t="s">
        <v>307</v>
      </c>
      <c r="Q35" s="3" t="s">
        <v>307</v>
      </c>
      <c r="R35" s="3" t="s">
        <v>307</v>
      </c>
      <c r="S35" s="3" t="s">
        <v>307</v>
      </c>
    </row>
    <row r="36" spans="1:19" ht="72" customHeight="1" x14ac:dyDescent="0.3">
      <c r="A36" s="4" t="s">
        <v>170</v>
      </c>
      <c r="B36" s="4" t="s">
        <v>45</v>
      </c>
      <c r="C36" s="4" t="s">
        <v>478</v>
      </c>
      <c r="D36" s="4" t="s">
        <v>479</v>
      </c>
      <c r="E36" s="4" t="s">
        <v>480</v>
      </c>
      <c r="F36" s="4" t="s">
        <v>481</v>
      </c>
      <c r="G36" s="4" t="s">
        <v>482</v>
      </c>
      <c r="H36" s="4" t="s">
        <v>307</v>
      </c>
      <c r="I36" s="4" t="s">
        <v>18</v>
      </c>
      <c r="J36" s="4" t="s">
        <v>267</v>
      </c>
      <c r="K36" s="4" t="s">
        <v>276</v>
      </c>
      <c r="L36" s="4" t="s">
        <v>277</v>
      </c>
      <c r="M36" s="4" t="s">
        <v>64</v>
      </c>
      <c r="N36" s="4" t="s">
        <v>483</v>
      </c>
      <c r="O36" s="4" t="s">
        <v>484</v>
      </c>
      <c r="P36" s="4" t="s">
        <v>307</v>
      </c>
      <c r="Q36" s="4" t="s">
        <v>307</v>
      </c>
      <c r="R36" s="4" t="s">
        <v>307</v>
      </c>
      <c r="S36" s="4" t="s">
        <v>307</v>
      </c>
    </row>
    <row r="37" spans="1:19" ht="72" customHeight="1" x14ac:dyDescent="0.3">
      <c r="A37" s="3" t="s">
        <v>485</v>
      </c>
      <c r="B37" s="3" t="s">
        <v>45</v>
      </c>
      <c r="C37" s="3" t="s">
        <v>486</v>
      </c>
      <c r="D37" s="3" t="s">
        <v>487</v>
      </c>
      <c r="E37" s="3" t="s">
        <v>488</v>
      </c>
      <c r="F37" s="3" t="s">
        <v>489</v>
      </c>
      <c r="G37" s="3" t="s">
        <v>490</v>
      </c>
      <c r="H37" s="3" t="s">
        <v>307</v>
      </c>
      <c r="I37" s="3" t="s">
        <v>18</v>
      </c>
      <c r="J37" s="3" t="s">
        <v>271</v>
      </c>
      <c r="K37" s="3" t="s">
        <v>268</v>
      </c>
      <c r="L37" s="3" t="s">
        <v>273</v>
      </c>
      <c r="M37" s="3" t="s">
        <v>62</v>
      </c>
      <c r="N37" s="3" t="s">
        <v>491</v>
      </c>
      <c r="O37" s="3" t="s">
        <v>169</v>
      </c>
      <c r="P37" s="3" t="s">
        <v>307</v>
      </c>
      <c r="Q37" s="3" t="s">
        <v>307</v>
      </c>
      <c r="R37" s="3" t="s">
        <v>307</v>
      </c>
      <c r="S37" s="3" t="s">
        <v>307</v>
      </c>
    </row>
    <row r="38" spans="1:19" ht="22.05" customHeight="1" x14ac:dyDescent="0.3">
      <c r="A38" s="40" t="s">
        <v>492</v>
      </c>
      <c r="B38" s="40"/>
      <c r="C38" s="40"/>
      <c r="D38" s="40"/>
      <c r="E38" s="40"/>
      <c r="F38" s="40"/>
      <c r="G38" s="40"/>
    </row>
    <row r="39" spans="1:19" ht="72" customHeight="1" x14ac:dyDescent="0.3">
      <c r="A39" s="4" t="s">
        <v>493</v>
      </c>
      <c r="B39" s="4" t="s">
        <v>47</v>
      </c>
      <c r="C39" s="4" t="s">
        <v>494</v>
      </c>
      <c r="D39" s="4" t="s">
        <v>495</v>
      </c>
      <c r="E39" s="4" t="s">
        <v>496</v>
      </c>
      <c r="F39" s="4" t="s">
        <v>497</v>
      </c>
      <c r="G39" s="4" t="s">
        <v>498</v>
      </c>
      <c r="H39" s="4" t="s">
        <v>307</v>
      </c>
      <c r="I39" s="4" t="s">
        <v>18</v>
      </c>
      <c r="J39" s="4" t="s">
        <v>267</v>
      </c>
      <c r="K39" s="4" t="s">
        <v>268</v>
      </c>
      <c r="L39" s="4" t="s">
        <v>273</v>
      </c>
      <c r="M39" s="4" t="s">
        <v>62</v>
      </c>
      <c r="N39" s="4" t="s">
        <v>499</v>
      </c>
      <c r="O39" s="4" t="s">
        <v>500</v>
      </c>
      <c r="P39" s="4" t="s">
        <v>307</v>
      </c>
      <c r="Q39" s="4" t="s">
        <v>307</v>
      </c>
      <c r="R39" s="4" t="s">
        <v>307</v>
      </c>
      <c r="S39" s="4" t="s">
        <v>307</v>
      </c>
    </row>
    <row r="40" spans="1:19" ht="72" customHeight="1" x14ac:dyDescent="0.3">
      <c r="A40" s="3" t="s">
        <v>501</v>
      </c>
      <c r="B40" s="3" t="s">
        <v>47</v>
      </c>
      <c r="C40" s="3" t="s">
        <v>502</v>
      </c>
      <c r="D40" s="3" t="s">
        <v>503</v>
      </c>
      <c r="E40" s="3" t="s">
        <v>504</v>
      </c>
      <c r="F40" s="3" t="s">
        <v>505</v>
      </c>
      <c r="G40" s="3" t="s">
        <v>506</v>
      </c>
      <c r="H40" s="3" t="s">
        <v>307</v>
      </c>
      <c r="I40" s="3" t="s">
        <v>18</v>
      </c>
      <c r="J40" s="3" t="s">
        <v>271</v>
      </c>
      <c r="K40" s="3" t="s">
        <v>268</v>
      </c>
      <c r="L40" s="3" t="s">
        <v>273</v>
      </c>
      <c r="M40" s="3" t="s">
        <v>62</v>
      </c>
      <c r="N40" s="3" t="s">
        <v>499</v>
      </c>
      <c r="O40" s="3" t="s">
        <v>507</v>
      </c>
      <c r="P40" s="3" t="s">
        <v>307</v>
      </c>
      <c r="Q40" s="3" t="s">
        <v>307</v>
      </c>
      <c r="R40" s="3" t="s">
        <v>307</v>
      </c>
      <c r="S40" s="3" t="s">
        <v>307</v>
      </c>
    </row>
    <row r="41" spans="1:19" ht="72" customHeight="1" x14ac:dyDescent="0.3">
      <c r="A41" s="4" t="s">
        <v>508</v>
      </c>
      <c r="B41" s="4" t="s">
        <v>47</v>
      </c>
      <c r="C41" s="4" t="s">
        <v>509</v>
      </c>
      <c r="D41" s="4" t="s">
        <v>510</v>
      </c>
      <c r="E41" s="4" t="s">
        <v>511</v>
      </c>
      <c r="F41" s="4" t="s">
        <v>512</v>
      </c>
      <c r="G41" s="4" t="s">
        <v>513</v>
      </c>
      <c r="H41" s="4" t="s">
        <v>307</v>
      </c>
      <c r="I41" s="4" t="s">
        <v>18</v>
      </c>
      <c r="J41" s="4" t="s">
        <v>267</v>
      </c>
      <c r="K41" s="4" t="s">
        <v>268</v>
      </c>
      <c r="L41" s="4" t="s">
        <v>273</v>
      </c>
      <c r="M41" s="4" t="s">
        <v>62</v>
      </c>
      <c r="N41" s="4" t="s">
        <v>514</v>
      </c>
      <c r="O41" s="4" t="s">
        <v>507</v>
      </c>
      <c r="P41" s="4" t="s">
        <v>307</v>
      </c>
      <c r="Q41" s="4" t="s">
        <v>307</v>
      </c>
      <c r="R41" s="4" t="s">
        <v>307</v>
      </c>
      <c r="S41" s="4" t="s">
        <v>307</v>
      </c>
    </row>
    <row r="42" spans="1:19" ht="72" customHeight="1" x14ac:dyDescent="0.3">
      <c r="A42" s="3" t="s">
        <v>515</v>
      </c>
      <c r="B42" s="3" t="s">
        <v>47</v>
      </c>
      <c r="C42" s="3" t="s">
        <v>516</v>
      </c>
      <c r="D42" s="3" t="s">
        <v>517</v>
      </c>
      <c r="E42" s="3" t="s">
        <v>518</v>
      </c>
      <c r="F42" s="3" t="s">
        <v>519</v>
      </c>
      <c r="G42" s="3" t="s">
        <v>520</v>
      </c>
      <c r="H42" s="3" t="s">
        <v>307</v>
      </c>
      <c r="I42" s="3" t="s">
        <v>18</v>
      </c>
      <c r="J42" s="3" t="s">
        <v>271</v>
      </c>
      <c r="K42" s="3" t="s">
        <v>268</v>
      </c>
      <c r="L42" s="3" t="s">
        <v>273</v>
      </c>
      <c r="M42" s="3" t="s">
        <v>62</v>
      </c>
      <c r="N42" s="3" t="s">
        <v>514</v>
      </c>
      <c r="O42" s="3" t="s">
        <v>507</v>
      </c>
      <c r="P42" s="3" t="s">
        <v>307</v>
      </c>
      <c r="Q42" s="3" t="s">
        <v>307</v>
      </c>
      <c r="R42" s="3" t="s">
        <v>307</v>
      </c>
      <c r="S42" s="3" t="s">
        <v>307</v>
      </c>
    </row>
    <row r="43" spans="1:19" ht="72" customHeight="1" x14ac:dyDescent="0.3">
      <c r="A43" s="4" t="s">
        <v>521</v>
      </c>
      <c r="B43" s="4" t="s">
        <v>47</v>
      </c>
      <c r="C43" s="4" t="s">
        <v>486</v>
      </c>
      <c r="D43" s="4" t="s">
        <v>522</v>
      </c>
      <c r="E43" s="4" t="s">
        <v>523</v>
      </c>
      <c r="F43" s="4" t="s">
        <v>489</v>
      </c>
      <c r="G43" s="4" t="s">
        <v>524</v>
      </c>
      <c r="H43" s="4" t="s">
        <v>307</v>
      </c>
      <c r="I43" s="4" t="s">
        <v>18</v>
      </c>
      <c r="J43" s="4" t="s">
        <v>271</v>
      </c>
      <c r="K43" s="4" t="s">
        <v>268</v>
      </c>
      <c r="L43" s="4" t="s">
        <v>273</v>
      </c>
      <c r="M43" s="4" t="s">
        <v>62</v>
      </c>
      <c r="N43" s="4" t="s">
        <v>525</v>
      </c>
      <c r="O43" s="4" t="s">
        <v>526</v>
      </c>
      <c r="P43" s="4" t="s">
        <v>307</v>
      </c>
      <c r="Q43" s="4" t="s">
        <v>307</v>
      </c>
      <c r="R43" s="4" t="s">
        <v>307</v>
      </c>
      <c r="S43" s="4" t="s">
        <v>307</v>
      </c>
    </row>
    <row r="44" spans="1:19" ht="22.05" customHeight="1" x14ac:dyDescent="0.3">
      <c r="A44" s="40" t="s">
        <v>527</v>
      </c>
      <c r="B44" s="40"/>
      <c r="C44" s="40"/>
      <c r="D44" s="40"/>
      <c r="E44" s="40"/>
      <c r="F44" s="40"/>
      <c r="G44" s="40"/>
    </row>
    <row r="45" spans="1:19" ht="72" customHeight="1" x14ac:dyDescent="0.3">
      <c r="A45" s="4" t="s">
        <v>528</v>
      </c>
      <c r="B45" s="4" t="s">
        <v>49</v>
      </c>
      <c r="C45" s="4" t="s">
        <v>529</v>
      </c>
      <c r="D45" s="4" t="s">
        <v>530</v>
      </c>
      <c r="E45" s="4" t="s">
        <v>531</v>
      </c>
      <c r="F45" s="4" t="s">
        <v>532</v>
      </c>
      <c r="G45" s="4" t="s">
        <v>533</v>
      </c>
      <c r="H45" s="4" t="s">
        <v>307</v>
      </c>
      <c r="I45" s="4" t="s">
        <v>18</v>
      </c>
      <c r="J45" s="4" t="s">
        <v>267</v>
      </c>
      <c r="K45" s="4" t="s">
        <v>268</v>
      </c>
      <c r="L45" s="4" t="s">
        <v>273</v>
      </c>
      <c r="M45" s="4" t="s">
        <v>62</v>
      </c>
      <c r="N45" s="4" t="s">
        <v>534</v>
      </c>
      <c r="O45" s="4" t="s">
        <v>535</v>
      </c>
      <c r="P45" s="4" t="s">
        <v>307</v>
      </c>
      <c r="Q45" s="4" t="s">
        <v>307</v>
      </c>
      <c r="R45" s="4" t="s">
        <v>307</v>
      </c>
      <c r="S45" s="4" t="s">
        <v>307</v>
      </c>
    </row>
    <row r="46" spans="1:19" ht="72" customHeight="1" x14ac:dyDescent="0.3">
      <c r="A46" s="3" t="s">
        <v>536</v>
      </c>
      <c r="B46" s="3" t="s">
        <v>49</v>
      </c>
      <c r="C46" s="3" t="s">
        <v>537</v>
      </c>
      <c r="D46" s="3" t="s">
        <v>538</v>
      </c>
      <c r="E46" s="3" t="s">
        <v>539</v>
      </c>
      <c r="F46" s="3" t="s">
        <v>540</v>
      </c>
      <c r="G46" s="3" t="s">
        <v>541</v>
      </c>
      <c r="H46" s="3" t="s">
        <v>307</v>
      </c>
      <c r="I46" s="3" t="s">
        <v>18</v>
      </c>
      <c r="J46" s="3" t="s">
        <v>271</v>
      </c>
      <c r="K46" s="3" t="s">
        <v>268</v>
      </c>
      <c r="L46" s="3" t="s">
        <v>273</v>
      </c>
      <c r="M46" s="3" t="s">
        <v>62</v>
      </c>
      <c r="N46" s="3" t="s">
        <v>534</v>
      </c>
      <c r="O46" s="3" t="s">
        <v>542</v>
      </c>
      <c r="P46" s="3" t="s">
        <v>307</v>
      </c>
      <c r="Q46" s="3" t="s">
        <v>307</v>
      </c>
      <c r="R46" s="3" t="s">
        <v>307</v>
      </c>
      <c r="S46" s="3" t="s">
        <v>307</v>
      </c>
    </row>
    <row r="47" spans="1:19" ht="72" customHeight="1" x14ac:dyDescent="0.3">
      <c r="A47" s="4" t="s">
        <v>543</v>
      </c>
      <c r="B47" s="4" t="s">
        <v>49</v>
      </c>
      <c r="C47" s="4" t="s">
        <v>544</v>
      </c>
      <c r="D47" s="4" t="s">
        <v>545</v>
      </c>
      <c r="E47" s="4" t="s">
        <v>546</v>
      </c>
      <c r="F47" s="4" t="s">
        <v>547</v>
      </c>
      <c r="G47" s="4" t="s">
        <v>548</v>
      </c>
      <c r="H47" s="4" t="s">
        <v>307</v>
      </c>
      <c r="I47" s="4" t="s">
        <v>18</v>
      </c>
      <c r="J47" s="4" t="s">
        <v>267</v>
      </c>
      <c r="K47" s="4" t="s">
        <v>268</v>
      </c>
      <c r="L47" s="4" t="s">
        <v>273</v>
      </c>
      <c r="M47" s="4" t="s">
        <v>62</v>
      </c>
      <c r="N47" s="4" t="s">
        <v>549</v>
      </c>
      <c r="O47" s="4" t="s">
        <v>542</v>
      </c>
      <c r="P47" s="4" t="s">
        <v>307</v>
      </c>
      <c r="Q47" s="4" t="s">
        <v>307</v>
      </c>
      <c r="R47" s="4" t="s">
        <v>307</v>
      </c>
      <c r="S47" s="4" t="s">
        <v>307</v>
      </c>
    </row>
    <row r="48" spans="1:19" ht="72" customHeight="1" x14ac:dyDescent="0.3">
      <c r="A48" s="3" t="s">
        <v>550</v>
      </c>
      <c r="B48" s="3" t="s">
        <v>49</v>
      </c>
      <c r="C48" s="3" t="s">
        <v>551</v>
      </c>
      <c r="D48" s="3" t="s">
        <v>552</v>
      </c>
      <c r="E48" s="3" t="s">
        <v>553</v>
      </c>
      <c r="F48" s="3" t="s">
        <v>554</v>
      </c>
      <c r="G48" s="3" t="s">
        <v>555</v>
      </c>
      <c r="H48" s="3" t="s">
        <v>307</v>
      </c>
      <c r="I48" s="3" t="s">
        <v>18</v>
      </c>
      <c r="J48" s="3" t="s">
        <v>271</v>
      </c>
      <c r="K48" s="3" t="s">
        <v>268</v>
      </c>
      <c r="L48" s="3" t="s">
        <v>273</v>
      </c>
      <c r="M48" s="3" t="s">
        <v>62</v>
      </c>
      <c r="N48" s="3" t="s">
        <v>549</v>
      </c>
      <c r="O48" s="3" t="s">
        <v>542</v>
      </c>
      <c r="P48" s="3" t="s">
        <v>307</v>
      </c>
      <c r="Q48" s="3" t="s">
        <v>307</v>
      </c>
      <c r="R48" s="3" t="s">
        <v>307</v>
      </c>
      <c r="S48" s="3" t="s">
        <v>307</v>
      </c>
    </row>
    <row r="49" spans="1:19" ht="72" customHeight="1" x14ac:dyDescent="0.3">
      <c r="A49" s="4" t="s">
        <v>556</v>
      </c>
      <c r="B49" s="4" t="s">
        <v>49</v>
      </c>
      <c r="C49" s="4" t="s">
        <v>557</v>
      </c>
      <c r="D49" s="4" t="s">
        <v>558</v>
      </c>
      <c r="E49" s="4" t="s">
        <v>559</v>
      </c>
      <c r="F49" s="4" t="s">
        <v>560</v>
      </c>
      <c r="G49" s="4" t="s">
        <v>561</v>
      </c>
      <c r="H49" s="4" t="s">
        <v>307</v>
      </c>
      <c r="I49" s="4" t="s">
        <v>18</v>
      </c>
      <c r="J49" s="4" t="s">
        <v>267</v>
      </c>
      <c r="K49" s="4" t="s">
        <v>276</v>
      </c>
      <c r="L49" s="4" t="s">
        <v>273</v>
      </c>
      <c r="M49" s="4" t="s">
        <v>62</v>
      </c>
      <c r="N49" s="4" t="s">
        <v>562</v>
      </c>
      <c r="O49" s="4" t="s">
        <v>542</v>
      </c>
      <c r="P49" s="4" t="s">
        <v>307</v>
      </c>
      <c r="Q49" s="4" t="s">
        <v>307</v>
      </c>
      <c r="R49" s="4" t="s">
        <v>307</v>
      </c>
      <c r="S49" s="4" t="s">
        <v>307</v>
      </c>
    </row>
    <row r="50" spans="1:19" ht="72" customHeight="1" x14ac:dyDescent="0.3">
      <c r="A50" s="3" t="s">
        <v>563</v>
      </c>
      <c r="B50" s="3" t="s">
        <v>49</v>
      </c>
      <c r="C50" s="3" t="s">
        <v>486</v>
      </c>
      <c r="D50" s="3" t="s">
        <v>564</v>
      </c>
      <c r="E50" s="3" t="s">
        <v>565</v>
      </c>
      <c r="F50" s="3" t="s">
        <v>489</v>
      </c>
      <c r="G50" s="3" t="s">
        <v>566</v>
      </c>
      <c r="H50" s="3" t="s">
        <v>307</v>
      </c>
      <c r="I50" s="3" t="s">
        <v>18</v>
      </c>
      <c r="J50" s="3" t="s">
        <v>271</v>
      </c>
      <c r="K50" s="3" t="s">
        <v>268</v>
      </c>
      <c r="L50" s="3" t="s">
        <v>273</v>
      </c>
      <c r="M50" s="3" t="s">
        <v>62</v>
      </c>
      <c r="N50" s="3" t="s">
        <v>567</v>
      </c>
      <c r="O50" s="3" t="s">
        <v>542</v>
      </c>
      <c r="P50" s="3" t="s">
        <v>307</v>
      </c>
      <c r="Q50" s="3" t="s">
        <v>307</v>
      </c>
      <c r="R50" s="3" t="s">
        <v>307</v>
      </c>
      <c r="S50" s="3" t="s">
        <v>307</v>
      </c>
    </row>
    <row r="51" spans="1:19" ht="22.05" customHeight="1" x14ac:dyDescent="0.3">
      <c r="A51" s="40" t="s">
        <v>568</v>
      </c>
      <c r="B51" s="40"/>
      <c r="C51" s="40"/>
      <c r="D51" s="40"/>
      <c r="E51" s="40"/>
      <c r="F51" s="40"/>
      <c r="G51" s="40"/>
    </row>
    <row r="52" spans="1:19" ht="72" customHeight="1" x14ac:dyDescent="0.3">
      <c r="A52" s="4" t="s">
        <v>569</v>
      </c>
      <c r="B52" s="4" t="s">
        <v>51</v>
      </c>
      <c r="C52" s="4" t="s">
        <v>570</v>
      </c>
      <c r="D52" s="4" t="s">
        <v>571</v>
      </c>
      <c r="E52" s="4" t="s">
        <v>572</v>
      </c>
      <c r="F52" s="4" t="s">
        <v>573</v>
      </c>
      <c r="G52" s="4" t="s">
        <v>574</v>
      </c>
      <c r="H52" s="4" t="s">
        <v>307</v>
      </c>
      <c r="I52" s="4" t="s">
        <v>18</v>
      </c>
      <c r="J52" s="4" t="s">
        <v>267</v>
      </c>
      <c r="K52" s="4" t="s">
        <v>268</v>
      </c>
      <c r="L52" s="4" t="s">
        <v>273</v>
      </c>
      <c r="M52" s="4" t="s">
        <v>62</v>
      </c>
      <c r="N52" s="4" t="s">
        <v>575</v>
      </c>
      <c r="O52" s="4" t="s">
        <v>576</v>
      </c>
      <c r="P52" s="4" t="s">
        <v>307</v>
      </c>
      <c r="Q52" s="4" t="s">
        <v>307</v>
      </c>
      <c r="R52" s="4" t="s">
        <v>307</v>
      </c>
      <c r="S52" s="4" t="s">
        <v>307</v>
      </c>
    </row>
    <row r="53" spans="1:19" ht="72" customHeight="1" x14ac:dyDescent="0.3">
      <c r="A53" s="3" t="s">
        <v>577</v>
      </c>
      <c r="B53" s="3" t="s">
        <v>51</v>
      </c>
      <c r="C53" s="3" t="s">
        <v>578</v>
      </c>
      <c r="D53" s="3" t="s">
        <v>579</v>
      </c>
      <c r="E53" s="3" t="s">
        <v>580</v>
      </c>
      <c r="F53" s="3" t="s">
        <v>581</v>
      </c>
      <c r="G53" s="3" t="s">
        <v>582</v>
      </c>
      <c r="H53" s="3" t="s">
        <v>307</v>
      </c>
      <c r="I53" s="3" t="s">
        <v>18</v>
      </c>
      <c r="J53" s="3" t="s">
        <v>267</v>
      </c>
      <c r="K53" s="3" t="s">
        <v>268</v>
      </c>
      <c r="L53" s="3" t="s">
        <v>273</v>
      </c>
      <c r="M53" s="3" t="s">
        <v>62</v>
      </c>
      <c r="N53" s="3" t="s">
        <v>583</v>
      </c>
      <c r="O53" s="3" t="s">
        <v>166</v>
      </c>
      <c r="P53" s="3" t="s">
        <v>307</v>
      </c>
      <c r="Q53" s="3" t="s">
        <v>307</v>
      </c>
      <c r="R53" s="3" t="s">
        <v>307</v>
      </c>
      <c r="S53" s="3" t="s">
        <v>307</v>
      </c>
    </row>
    <row r="54" spans="1:19" ht="72" customHeight="1" x14ac:dyDescent="0.3">
      <c r="A54" s="4" t="s">
        <v>584</v>
      </c>
      <c r="B54" s="4" t="s">
        <v>51</v>
      </c>
      <c r="C54" s="4" t="s">
        <v>585</v>
      </c>
      <c r="D54" s="4" t="s">
        <v>586</v>
      </c>
      <c r="E54" s="4" t="s">
        <v>587</v>
      </c>
      <c r="F54" s="4" t="s">
        <v>588</v>
      </c>
      <c r="G54" s="4" t="s">
        <v>589</v>
      </c>
      <c r="H54" s="4" t="s">
        <v>307</v>
      </c>
      <c r="I54" s="4" t="s">
        <v>18</v>
      </c>
      <c r="J54" s="4" t="s">
        <v>267</v>
      </c>
      <c r="K54" s="4" t="s">
        <v>268</v>
      </c>
      <c r="L54" s="4" t="s">
        <v>273</v>
      </c>
      <c r="M54" s="4" t="s">
        <v>62</v>
      </c>
      <c r="N54" s="4" t="s">
        <v>590</v>
      </c>
      <c r="O54" s="4" t="s">
        <v>166</v>
      </c>
      <c r="P54" s="4" t="s">
        <v>307</v>
      </c>
      <c r="Q54" s="4" t="s">
        <v>307</v>
      </c>
      <c r="R54" s="4" t="s">
        <v>307</v>
      </c>
      <c r="S54" s="4" t="s">
        <v>307</v>
      </c>
    </row>
    <row r="55" spans="1:19" ht="72" customHeight="1" x14ac:dyDescent="0.3">
      <c r="A55" s="3" t="s">
        <v>591</v>
      </c>
      <c r="B55" s="3" t="s">
        <v>51</v>
      </c>
      <c r="C55" s="3" t="s">
        <v>592</v>
      </c>
      <c r="D55" s="3" t="s">
        <v>593</v>
      </c>
      <c r="E55" s="3" t="s">
        <v>594</v>
      </c>
      <c r="F55" s="3" t="s">
        <v>595</v>
      </c>
      <c r="G55" s="3" t="s">
        <v>596</v>
      </c>
      <c r="H55" s="3" t="s">
        <v>307</v>
      </c>
      <c r="I55" s="3" t="s">
        <v>18</v>
      </c>
      <c r="J55" s="3" t="s">
        <v>267</v>
      </c>
      <c r="K55" s="3" t="s">
        <v>272</v>
      </c>
      <c r="L55" s="3" t="s">
        <v>277</v>
      </c>
      <c r="M55" s="3" t="s">
        <v>64</v>
      </c>
      <c r="N55" s="3" t="s">
        <v>597</v>
      </c>
      <c r="O55" s="3" t="s">
        <v>598</v>
      </c>
      <c r="P55" s="3" t="s">
        <v>307</v>
      </c>
      <c r="Q55" s="3" t="s">
        <v>307</v>
      </c>
      <c r="R55" s="3" t="s">
        <v>307</v>
      </c>
      <c r="S55" s="3" t="s">
        <v>307</v>
      </c>
    </row>
    <row r="56" spans="1:19" ht="72" customHeight="1" x14ac:dyDescent="0.3">
      <c r="A56" s="4" t="s">
        <v>599</v>
      </c>
      <c r="B56" s="4" t="s">
        <v>51</v>
      </c>
      <c r="C56" s="4" t="s">
        <v>600</v>
      </c>
      <c r="D56" s="4" t="s">
        <v>601</v>
      </c>
      <c r="E56" s="4" t="s">
        <v>602</v>
      </c>
      <c r="F56" s="4" t="s">
        <v>603</v>
      </c>
      <c r="G56" s="4" t="s">
        <v>604</v>
      </c>
      <c r="H56" s="4" t="s">
        <v>307</v>
      </c>
      <c r="I56" s="4" t="s">
        <v>18</v>
      </c>
      <c r="J56" s="4" t="s">
        <v>267</v>
      </c>
      <c r="K56" s="4" t="s">
        <v>268</v>
      </c>
      <c r="L56" s="4" t="s">
        <v>277</v>
      </c>
      <c r="M56" s="4" t="s">
        <v>64</v>
      </c>
      <c r="N56" s="4" t="s">
        <v>605</v>
      </c>
      <c r="O56" s="4" t="s">
        <v>606</v>
      </c>
      <c r="P56" s="4" t="s">
        <v>307</v>
      </c>
      <c r="Q56" s="4" t="s">
        <v>307</v>
      </c>
      <c r="R56" s="4" t="s">
        <v>307</v>
      </c>
      <c r="S56" s="4" t="s">
        <v>307</v>
      </c>
    </row>
    <row r="57" spans="1:19" ht="72" customHeight="1" x14ac:dyDescent="0.3">
      <c r="A57" s="3" t="s">
        <v>607</v>
      </c>
      <c r="B57" s="3" t="s">
        <v>51</v>
      </c>
      <c r="C57" s="3" t="s">
        <v>608</v>
      </c>
      <c r="D57" s="3" t="s">
        <v>609</v>
      </c>
      <c r="E57" s="3" t="s">
        <v>610</v>
      </c>
      <c r="F57" s="3" t="s">
        <v>611</v>
      </c>
      <c r="G57" s="3" t="s">
        <v>612</v>
      </c>
      <c r="H57" s="3" t="s">
        <v>307</v>
      </c>
      <c r="I57" s="3" t="s">
        <v>18</v>
      </c>
      <c r="J57" s="3" t="s">
        <v>271</v>
      </c>
      <c r="K57" s="3" t="s">
        <v>276</v>
      </c>
      <c r="L57" s="3" t="s">
        <v>277</v>
      </c>
      <c r="M57" s="3" t="s">
        <v>64</v>
      </c>
      <c r="N57" s="3" t="s">
        <v>613</v>
      </c>
      <c r="O57" s="3" t="s">
        <v>614</v>
      </c>
      <c r="P57" s="3" t="s">
        <v>307</v>
      </c>
      <c r="Q57" s="3" t="s">
        <v>307</v>
      </c>
      <c r="R57" s="3" t="s">
        <v>307</v>
      </c>
      <c r="S57" s="3" t="s">
        <v>307</v>
      </c>
    </row>
    <row r="58" spans="1:19" ht="72" customHeight="1" x14ac:dyDescent="0.3">
      <c r="A58" s="4" t="s">
        <v>615</v>
      </c>
      <c r="B58" s="4" t="s">
        <v>51</v>
      </c>
      <c r="C58" s="4" t="s">
        <v>616</v>
      </c>
      <c r="D58" s="4" t="s">
        <v>617</v>
      </c>
      <c r="E58" s="4" t="s">
        <v>618</v>
      </c>
      <c r="F58" s="4" t="s">
        <v>619</v>
      </c>
      <c r="G58" s="4" t="s">
        <v>620</v>
      </c>
      <c r="H58" s="4" t="s">
        <v>307</v>
      </c>
      <c r="I58" s="4" t="s">
        <v>18</v>
      </c>
      <c r="J58" s="4" t="s">
        <v>267</v>
      </c>
      <c r="K58" s="4" t="s">
        <v>268</v>
      </c>
      <c r="L58" s="4" t="s">
        <v>277</v>
      </c>
      <c r="M58" s="4" t="s">
        <v>64</v>
      </c>
      <c r="N58" s="4" t="s">
        <v>621</v>
      </c>
      <c r="O58" s="4" t="s">
        <v>622</v>
      </c>
      <c r="P58" s="4" t="s">
        <v>307</v>
      </c>
      <c r="Q58" s="4" t="s">
        <v>307</v>
      </c>
      <c r="R58" s="4" t="s">
        <v>307</v>
      </c>
      <c r="S58" s="4" t="s">
        <v>307</v>
      </c>
    </row>
    <row r="59" spans="1:19" ht="72" customHeight="1" x14ac:dyDescent="0.3">
      <c r="A59" s="3" t="s">
        <v>623</v>
      </c>
      <c r="B59" s="3" t="s">
        <v>51</v>
      </c>
      <c r="C59" s="3" t="s">
        <v>624</v>
      </c>
      <c r="D59" s="3" t="s">
        <v>625</v>
      </c>
      <c r="E59" s="3" t="s">
        <v>626</v>
      </c>
      <c r="F59" s="3" t="s">
        <v>627</v>
      </c>
      <c r="G59" s="3" t="s">
        <v>628</v>
      </c>
      <c r="H59" s="3" t="s">
        <v>307</v>
      </c>
      <c r="I59" s="3" t="s">
        <v>18</v>
      </c>
      <c r="J59" s="3" t="s">
        <v>271</v>
      </c>
      <c r="K59" s="3" t="s">
        <v>276</v>
      </c>
      <c r="L59" s="3" t="s">
        <v>277</v>
      </c>
      <c r="M59" s="3" t="s">
        <v>64</v>
      </c>
      <c r="N59" s="3" t="s">
        <v>629</v>
      </c>
      <c r="O59" s="3" t="s">
        <v>630</v>
      </c>
      <c r="P59" s="3" t="s">
        <v>307</v>
      </c>
      <c r="Q59" s="3" t="s">
        <v>307</v>
      </c>
      <c r="R59" s="3" t="s">
        <v>307</v>
      </c>
      <c r="S59" s="3" t="s">
        <v>307</v>
      </c>
    </row>
    <row r="60" spans="1:19" ht="72" customHeight="1" x14ac:dyDescent="0.3">
      <c r="A60" s="4" t="s">
        <v>631</v>
      </c>
      <c r="B60" s="4" t="s">
        <v>51</v>
      </c>
      <c r="C60" s="4" t="s">
        <v>632</v>
      </c>
      <c r="D60" s="4" t="s">
        <v>633</v>
      </c>
      <c r="E60" s="4" t="s">
        <v>634</v>
      </c>
      <c r="F60" s="4" t="s">
        <v>635</v>
      </c>
      <c r="G60" s="4" t="s">
        <v>636</v>
      </c>
      <c r="H60" s="4" t="s">
        <v>307</v>
      </c>
      <c r="I60" s="4" t="s">
        <v>18</v>
      </c>
      <c r="J60" s="4" t="s">
        <v>267</v>
      </c>
      <c r="K60" s="4" t="s">
        <v>272</v>
      </c>
      <c r="L60" s="4" t="s">
        <v>277</v>
      </c>
      <c r="M60" s="4" t="s">
        <v>64</v>
      </c>
      <c r="N60" s="4" t="s">
        <v>637</v>
      </c>
      <c r="O60" s="4" t="s">
        <v>638</v>
      </c>
      <c r="P60" s="4" t="s">
        <v>307</v>
      </c>
      <c r="Q60" s="4" t="s">
        <v>307</v>
      </c>
      <c r="R60" s="4" t="s">
        <v>307</v>
      </c>
      <c r="S60" s="4" t="s">
        <v>307</v>
      </c>
    </row>
    <row r="61" spans="1:19" ht="72" customHeight="1" x14ac:dyDescent="0.3">
      <c r="A61" s="3" t="s">
        <v>639</v>
      </c>
      <c r="B61" s="3" t="s">
        <v>51</v>
      </c>
      <c r="C61" s="3" t="s">
        <v>640</v>
      </c>
      <c r="D61" s="3" t="s">
        <v>641</v>
      </c>
      <c r="E61" s="3" t="s">
        <v>642</v>
      </c>
      <c r="F61" s="3" t="s">
        <v>643</v>
      </c>
      <c r="G61" s="3" t="s">
        <v>644</v>
      </c>
      <c r="H61" s="3" t="s">
        <v>307</v>
      </c>
      <c r="I61" s="3" t="s">
        <v>18</v>
      </c>
      <c r="J61" s="3" t="s">
        <v>275</v>
      </c>
      <c r="K61" s="3" t="s">
        <v>268</v>
      </c>
      <c r="L61" s="3" t="s">
        <v>280</v>
      </c>
      <c r="M61" s="3" t="s">
        <v>66</v>
      </c>
      <c r="N61" s="3" t="s">
        <v>109</v>
      </c>
      <c r="O61" s="3" t="s">
        <v>645</v>
      </c>
      <c r="P61" s="3" t="s">
        <v>307</v>
      </c>
      <c r="Q61" s="3" t="s">
        <v>307</v>
      </c>
      <c r="R61" s="3" t="s">
        <v>307</v>
      </c>
      <c r="S61" s="3" t="s">
        <v>307</v>
      </c>
    </row>
    <row r="62" spans="1:19" ht="22.05" customHeight="1" x14ac:dyDescent="0.3">
      <c r="A62" s="40" t="s">
        <v>646</v>
      </c>
      <c r="B62" s="40"/>
      <c r="C62" s="40"/>
      <c r="D62" s="40"/>
      <c r="E62" s="40"/>
      <c r="F62" s="40"/>
      <c r="G62" s="40"/>
    </row>
    <row r="63" spans="1:19" ht="72" customHeight="1" x14ac:dyDescent="0.3">
      <c r="A63" s="4" t="s">
        <v>647</v>
      </c>
      <c r="B63" s="4" t="s">
        <v>648</v>
      </c>
      <c r="C63" s="4" t="s">
        <v>649</v>
      </c>
      <c r="D63" s="4" t="s">
        <v>650</v>
      </c>
      <c r="E63" s="4" t="s">
        <v>651</v>
      </c>
      <c r="F63" s="4" t="s">
        <v>652</v>
      </c>
      <c r="G63" s="4" t="s">
        <v>653</v>
      </c>
      <c r="H63" s="4" t="s">
        <v>307</v>
      </c>
      <c r="I63" s="4" t="s">
        <v>18</v>
      </c>
      <c r="J63" s="4" t="s">
        <v>267</v>
      </c>
      <c r="K63" s="4" t="s">
        <v>268</v>
      </c>
      <c r="L63" s="4" t="s">
        <v>273</v>
      </c>
      <c r="M63" s="4" t="s">
        <v>62</v>
      </c>
      <c r="N63" s="4" t="s">
        <v>654</v>
      </c>
      <c r="O63" s="4" t="s">
        <v>655</v>
      </c>
      <c r="P63" s="4" t="s">
        <v>307</v>
      </c>
      <c r="Q63" s="4" t="s">
        <v>307</v>
      </c>
      <c r="R63" s="4" t="s">
        <v>307</v>
      </c>
      <c r="S63" s="4" t="s">
        <v>307</v>
      </c>
    </row>
    <row r="64" spans="1:19" ht="72" customHeight="1" x14ac:dyDescent="0.3">
      <c r="A64" s="3" t="s">
        <v>656</v>
      </c>
      <c r="B64" s="3" t="s">
        <v>648</v>
      </c>
      <c r="C64" s="3" t="s">
        <v>657</v>
      </c>
      <c r="D64" s="3" t="s">
        <v>658</v>
      </c>
      <c r="E64" s="3" t="s">
        <v>659</v>
      </c>
      <c r="F64" s="3" t="s">
        <v>660</v>
      </c>
      <c r="G64" s="3" t="s">
        <v>661</v>
      </c>
      <c r="H64" s="3" t="s">
        <v>307</v>
      </c>
      <c r="I64" s="3" t="s">
        <v>18</v>
      </c>
      <c r="J64" s="3" t="s">
        <v>267</v>
      </c>
      <c r="K64" s="3" t="s">
        <v>268</v>
      </c>
      <c r="L64" s="3" t="s">
        <v>269</v>
      </c>
      <c r="M64" s="3" t="s">
        <v>60</v>
      </c>
      <c r="N64" s="3" t="s">
        <v>662</v>
      </c>
      <c r="O64" s="3" t="s">
        <v>663</v>
      </c>
      <c r="P64" s="3" t="s">
        <v>307</v>
      </c>
      <c r="Q64" s="3" t="s">
        <v>307</v>
      </c>
      <c r="R64" s="3" t="s">
        <v>307</v>
      </c>
      <c r="S64" s="3" t="s">
        <v>307</v>
      </c>
    </row>
    <row r="65" spans="1:19" ht="72" customHeight="1" x14ac:dyDescent="0.3">
      <c r="A65" s="4" t="s">
        <v>664</v>
      </c>
      <c r="B65" s="4" t="s">
        <v>648</v>
      </c>
      <c r="C65" s="4" t="s">
        <v>665</v>
      </c>
      <c r="D65" s="4" t="s">
        <v>666</v>
      </c>
      <c r="E65" s="4" t="s">
        <v>667</v>
      </c>
      <c r="F65" s="4" t="s">
        <v>668</v>
      </c>
      <c r="G65" s="4" t="s">
        <v>669</v>
      </c>
      <c r="H65" s="4" t="s">
        <v>307</v>
      </c>
      <c r="I65" s="4" t="s">
        <v>18</v>
      </c>
      <c r="J65" s="4" t="s">
        <v>271</v>
      </c>
      <c r="K65" s="4" t="s">
        <v>112</v>
      </c>
      <c r="L65" s="4" t="s">
        <v>273</v>
      </c>
      <c r="M65" s="4" t="s">
        <v>62</v>
      </c>
      <c r="N65" s="4" t="s">
        <v>670</v>
      </c>
      <c r="O65" s="4" t="s">
        <v>671</v>
      </c>
      <c r="P65" s="4" t="s">
        <v>307</v>
      </c>
      <c r="Q65" s="4" t="s">
        <v>307</v>
      </c>
      <c r="R65" s="4" t="s">
        <v>307</v>
      </c>
      <c r="S65" s="4" t="s">
        <v>307</v>
      </c>
    </row>
    <row r="66" spans="1:19" ht="72" customHeight="1" x14ac:dyDescent="0.3">
      <c r="A66" s="3" t="s">
        <v>672</v>
      </c>
      <c r="B66" s="3" t="s">
        <v>648</v>
      </c>
      <c r="C66" s="3" t="s">
        <v>673</v>
      </c>
      <c r="D66" s="3" t="s">
        <v>674</v>
      </c>
      <c r="E66" s="3" t="s">
        <v>675</v>
      </c>
      <c r="F66" s="3" t="s">
        <v>676</v>
      </c>
      <c r="G66" s="3" t="s">
        <v>677</v>
      </c>
      <c r="H66" s="3" t="s">
        <v>307</v>
      </c>
      <c r="I66" s="3" t="s">
        <v>18</v>
      </c>
      <c r="J66" s="3" t="s">
        <v>271</v>
      </c>
      <c r="K66" s="3" t="s">
        <v>268</v>
      </c>
      <c r="L66" s="3" t="s">
        <v>273</v>
      </c>
      <c r="M66" s="3" t="s">
        <v>62</v>
      </c>
      <c r="N66" s="3" t="s">
        <v>678</v>
      </c>
      <c r="O66" s="3" t="s">
        <v>679</v>
      </c>
      <c r="P66" s="3" t="s">
        <v>307</v>
      </c>
      <c r="Q66" s="3" t="s">
        <v>307</v>
      </c>
      <c r="R66" s="3" t="s">
        <v>307</v>
      </c>
      <c r="S66" s="3" t="s">
        <v>307</v>
      </c>
    </row>
    <row r="67" spans="1:19" ht="72" customHeight="1" x14ac:dyDescent="0.3">
      <c r="A67" s="4" t="s">
        <v>680</v>
      </c>
      <c r="B67" s="4" t="s">
        <v>648</v>
      </c>
      <c r="C67" s="4" t="s">
        <v>681</v>
      </c>
      <c r="D67" s="4" t="s">
        <v>682</v>
      </c>
      <c r="E67" s="4" t="s">
        <v>683</v>
      </c>
      <c r="F67" s="4" t="s">
        <v>684</v>
      </c>
      <c r="G67" s="4" t="s">
        <v>685</v>
      </c>
      <c r="H67" s="4" t="s">
        <v>307</v>
      </c>
      <c r="I67" s="4" t="s">
        <v>18</v>
      </c>
      <c r="J67" s="4" t="s">
        <v>271</v>
      </c>
      <c r="K67" s="4" t="s">
        <v>268</v>
      </c>
      <c r="L67" s="4" t="s">
        <v>280</v>
      </c>
      <c r="M67" s="4" t="s">
        <v>66</v>
      </c>
      <c r="N67" s="4" t="s">
        <v>109</v>
      </c>
      <c r="O67" s="4" t="s">
        <v>686</v>
      </c>
      <c r="P67" s="4" t="s">
        <v>307</v>
      </c>
      <c r="Q67" s="4" t="s">
        <v>307</v>
      </c>
      <c r="R67" s="4" t="s">
        <v>307</v>
      </c>
      <c r="S67" s="4" t="s">
        <v>307</v>
      </c>
    </row>
    <row r="68" spans="1:19" ht="72" customHeight="1" x14ac:dyDescent="0.3">
      <c r="A68" s="3" t="s">
        <v>687</v>
      </c>
      <c r="B68" s="3" t="s">
        <v>648</v>
      </c>
      <c r="C68" s="3" t="s">
        <v>688</v>
      </c>
      <c r="D68" s="3" t="s">
        <v>689</v>
      </c>
      <c r="E68" s="3" t="s">
        <v>690</v>
      </c>
      <c r="F68" s="3" t="s">
        <v>691</v>
      </c>
      <c r="G68" s="3" t="s">
        <v>692</v>
      </c>
      <c r="H68" s="3" t="s">
        <v>307</v>
      </c>
      <c r="I68" s="3" t="s">
        <v>18</v>
      </c>
      <c r="J68" s="3" t="s">
        <v>271</v>
      </c>
      <c r="K68" s="3" t="s">
        <v>268</v>
      </c>
      <c r="L68" s="3" t="s">
        <v>280</v>
      </c>
      <c r="M68" s="3" t="s">
        <v>66</v>
      </c>
      <c r="N68" s="3" t="s">
        <v>109</v>
      </c>
      <c r="O68" s="3" t="s">
        <v>693</v>
      </c>
      <c r="P68" s="3" t="s">
        <v>307</v>
      </c>
      <c r="Q68" s="3" t="s">
        <v>307</v>
      </c>
      <c r="R68" s="3" t="s">
        <v>307</v>
      </c>
      <c r="S68" s="3" t="s">
        <v>307</v>
      </c>
    </row>
    <row r="69" spans="1:19" ht="22.05" customHeight="1" x14ac:dyDescent="0.3">
      <c r="A69" s="40" t="s">
        <v>694</v>
      </c>
      <c r="B69" s="40"/>
      <c r="C69" s="40"/>
      <c r="D69" s="40"/>
      <c r="E69" s="40"/>
      <c r="F69" s="40"/>
      <c r="G69" s="40"/>
    </row>
    <row r="70" spans="1:19" ht="72" customHeight="1" x14ac:dyDescent="0.3">
      <c r="A70" s="4" t="s">
        <v>695</v>
      </c>
      <c r="B70" s="4" t="s">
        <v>42</v>
      </c>
      <c r="C70" s="4" t="s">
        <v>199</v>
      </c>
      <c r="D70" s="4" t="s">
        <v>696</v>
      </c>
      <c r="E70" s="4" t="s">
        <v>697</v>
      </c>
      <c r="F70" s="4" t="s">
        <v>698</v>
      </c>
      <c r="G70" s="4" t="s">
        <v>699</v>
      </c>
      <c r="H70" s="4" t="s">
        <v>307</v>
      </c>
      <c r="I70" s="4" t="s">
        <v>18</v>
      </c>
      <c r="J70" s="4" t="s">
        <v>271</v>
      </c>
      <c r="K70" s="4" t="s">
        <v>268</v>
      </c>
      <c r="L70" s="4" t="s">
        <v>280</v>
      </c>
      <c r="M70" s="4" t="s">
        <v>66</v>
      </c>
      <c r="N70" s="4" t="s">
        <v>109</v>
      </c>
      <c r="O70" s="4" t="s">
        <v>700</v>
      </c>
      <c r="P70" s="4" t="s">
        <v>307</v>
      </c>
      <c r="Q70" s="4" t="s">
        <v>307</v>
      </c>
      <c r="R70" s="4" t="s">
        <v>307</v>
      </c>
      <c r="S70" s="4" t="s">
        <v>307</v>
      </c>
    </row>
    <row r="71" spans="1:19" ht="72" customHeight="1" x14ac:dyDescent="0.3">
      <c r="A71" s="3" t="s">
        <v>701</v>
      </c>
      <c r="B71" s="3" t="s">
        <v>45</v>
      </c>
      <c r="C71" s="3" t="s">
        <v>199</v>
      </c>
      <c r="D71" s="3" t="s">
        <v>702</v>
      </c>
      <c r="E71" s="3" t="s">
        <v>703</v>
      </c>
      <c r="F71" s="3" t="s">
        <v>704</v>
      </c>
      <c r="G71" s="3" t="s">
        <v>705</v>
      </c>
      <c r="H71" s="3" t="s">
        <v>307</v>
      </c>
      <c r="I71" s="3" t="s">
        <v>18</v>
      </c>
      <c r="J71" s="3" t="s">
        <v>271</v>
      </c>
      <c r="K71" s="3" t="s">
        <v>268</v>
      </c>
      <c r="L71" s="3" t="s">
        <v>280</v>
      </c>
      <c r="M71" s="3" t="s">
        <v>66</v>
      </c>
      <c r="N71" s="3" t="s">
        <v>109</v>
      </c>
      <c r="O71" s="3" t="s">
        <v>706</v>
      </c>
      <c r="P71" s="3" t="s">
        <v>307</v>
      </c>
      <c r="Q71" s="3" t="s">
        <v>307</v>
      </c>
      <c r="R71" s="3" t="s">
        <v>307</v>
      </c>
      <c r="S71" s="3" t="s">
        <v>307</v>
      </c>
    </row>
    <row r="72" spans="1:19" ht="72" customHeight="1" x14ac:dyDescent="0.3">
      <c r="A72" s="4" t="s">
        <v>707</v>
      </c>
      <c r="B72" s="4" t="s">
        <v>47</v>
      </c>
      <c r="C72" s="4" t="s">
        <v>199</v>
      </c>
      <c r="D72" s="4" t="s">
        <v>708</v>
      </c>
      <c r="E72" s="4" t="s">
        <v>709</v>
      </c>
      <c r="F72" s="4" t="s">
        <v>710</v>
      </c>
      <c r="G72" s="4" t="s">
        <v>711</v>
      </c>
      <c r="H72" s="4" t="s">
        <v>307</v>
      </c>
      <c r="I72" s="4" t="s">
        <v>18</v>
      </c>
      <c r="J72" s="4" t="s">
        <v>271</v>
      </c>
      <c r="K72" s="4" t="s">
        <v>268</v>
      </c>
      <c r="L72" s="4" t="s">
        <v>280</v>
      </c>
      <c r="M72" s="4" t="s">
        <v>66</v>
      </c>
      <c r="N72" s="4" t="s">
        <v>109</v>
      </c>
      <c r="O72" s="4" t="s">
        <v>712</v>
      </c>
      <c r="P72" s="4" t="s">
        <v>307</v>
      </c>
      <c r="Q72" s="4" t="s">
        <v>307</v>
      </c>
      <c r="R72" s="4" t="s">
        <v>307</v>
      </c>
      <c r="S72" s="4" t="s">
        <v>307</v>
      </c>
    </row>
    <row r="73" spans="1:19" ht="72" customHeight="1" x14ac:dyDescent="0.3">
      <c r="A73" s="3" t="s">
        <v>713</v>
      </c>
      <c r="B73" s="3" t="s">
        <v>49</v>
      </c>
      <c r="C73" s="3" t="s">
        <v>199</v>
      </c>
      <c r="D73" s="3" t="s">
        <v>714</v>
      </c>
      <c r="E73" s="3" t="s">
        <v>715</v>
      </c>
      <c r="F73" s="3" t="s">
        <v>716</v>
      </c>
      <c r="G73" s="3" t="s">
        <v>711</v>
      </c>
      <c r="H73" s="3" t="s">
        <v>307</v>
      </c>
      <c r="I73" s="3" t="s">
        <v>18</v>
      </c>
      <c r="J73" s="3" t="s">
        <v>271</v>
      </c>
      <c r="K73" s="3" t="s">
        <v>268</v>
      </c>
      <c r="L73" s="3" t="s">
        <v>280</v>
      </c>
      <c r="M73" s="3" t="s">
        <v>66</v>
      </c>
      <c r="N73" s="3" t="s">
        <v>109</v>
      </c>
      <c r="O73" s="3" t="s">
        <v>717</v>
      </c>
      <c r="P73" s="3" t="s">
        <v>307</v>
      </c>
      <c r="Q73" s="3" t="s">
        <v>307</v>
      </c>
      <c r="R73" s="3" t="s">
        <v>307</v>
      </c>
      <c r="S73" s="3" t="s">
        <v>307</v>
      </c>
    </row>
    <row r="74" spans="1:19" ht="72" customHeight="1" x14ac:dyDescent="0.3">
      <c r="A74" s="4" t="s">
        <v>718</v>
      </c>
      <c r="B74" s="4" t="s">
        <v>51</v>
      </c>
      <c r="C74" s="4" t="s">
        <v>199</v>
      </c>
      <c r="D74" s="4" t="s">
        <v>719</v>
      </c>
      <c r="E74" s="4" t="s">
        <v>720</v>
      </c>
      <c r="F74" s="4" t="s">
        <v>721</v>
      </c>
      <c r="G74" s="4" t="s">
        <v>722</v>
      </c>
      <c r="H74" s="4" t="s">
        <v>307</v>
      </c>
      <c r="I74" s="4" t="s">
        <v>18</v>
      </c>
      <c r="J74" s="4" t="s">
        <v>271</v>
      </c>
      <c r="K74" s="4" t="s">
        <v>268</v>
      </c>
      <c r="L74" s="4" t="s">
        <v>280</v>
      </c>
      <c r="M74" s="4" t="s">
        <v>66</v>
      </c>
      <c r="N74" s="4" t="s">
        <v>109</v>
      </c>
      <c r="O74" s="4" t="s">
        <v>723</v>
      </c>
      <c r="P74" s="4" t="s">
        <v>307</v>
      </c>
      <c r="Q74" s="4" t="s">
        <v>307</v>
      </c>
      <c r="R74" s="4" t="s">
        <v>307</v>
      </c>
      <c r="S74" s="4" t="s">
        <v>307</v>
      </c>
    </row>
    <row r="75" spans="1:19" ht="22.05" customHeight="1" x14ac:dyDescent="0.3">
      <c r="A75" s="40" t="s">
        <v>724</v>
      </c>
      <c r="B75" s="40"/>
      <c r="C75" s="40"/>
      <c r="D75" s="40"/>
      <c r="E75" s="40"/>
      <c r="F75" s="40"/>
      <c r="G75" s="40"/>
    </row>
    <row r="76" spans="1:19" ht="72" customHeight="1" x14ac:dyDescent="0.3">
      <c r="A76" s="4" t="s">
        <v>725</v>
      </c>
      <c r="B76" s="4" t="s">
        <v>310</v>
      </c>
      <c r="C76" s="4" t="s">
        <v>726</v>
      </c>
      <c r="D76" s="4" t="s">
        <v>727</v>
      </c>
      <c r="E76" s="4" t="s">
        <v>728</v>
      </c>
      <c r="F76" s="4" t="s">
        <v>729</v>
      </c>
      <c r="G76" s="4" t="s">
        <v>730</v>
      </c>
      <c r="H76" s="4" t="s">
        <v>307</v>
      </c>
      <c r="I76" s="4" t="s">
        <v>18</v>
      </c>
      <c r="J76" s="4" t="s">
        <v>271</v>
      </c>
      <c r="K76" s="4" t="s">
        <v>268</v>
      </c>
      <c r="L76" s="4" t="s">
        <v>280</v>
      </c>
      <c r="M76" s="4" t="s">
        <v>66</v>
      </c>
      <c r="N76" s="4" t="s">
        <v>109</v>
      </c>
      <c r="O76" s="4" t="s">
        <v>731</v>
      </c>
      <c r="P76" s="4" t="s">
        <v>307</v>
      </c>
      <c r="Q76" s="4" t="s">
        <v>307</v>
      </c>
      <c r="R76" s="4" t="s">
        <v>307</v>
      </c>
      <c r="S76" s="4" t="s">
        <v>307</v>
      </c>
    </row>
    <row r="77" spans="1:19" ht="72" customHeight="1" x14ac:dyDescent="0.3">
      <c r="A77" s="3" t="s">
        <v>732</v>
      </c>
      <c r="B77" s="3" t="s">
        <v>310</v>
      </c>
      <c r="C77" s="3" t="s">
        <v>733</v>
      </c>
      <c r="D77" s="3" t="s">
        <v>734</v>
      </c>
      <c r="E77" s="3" t="s">
        <v>735</v>
      </c>
      <c r="F77" s="3" t="s">
        <v>736</v>
      </c>
      <c r="G77" s="3" t="s">
        <v>737</v>
      </c>
      <c r="H77" s="3" t="s">
        <v>307</v>
      </c>
      <c r="I77" s="3" t="s">
        <v>18</v>
      </c>
      <c r="J77" s="3" t="s">
        <v>271</v>
      </c>
      <c r="K77" s="3" t="s">
        <v>268</v>
      </c>
      <c r="L77" s="3" t="s">
        <v>273</v>
      </c>
      <c r="M77" s="3" t="s">
        <v>62</v>
      </c>
      <c r="N77" s="3" t="s">
        <v>738</v>
      </c>
      <c r="O77" s="3" t="s">
        <v>739</v>
      </c>
      <c r="P77" s="3" t="s">
        <v>307</v>
      </c>
      <c r="Q77" s="3" t="s">
        <v>307</v>
      </c>
      <c r="R77" s="3" t="s">
        <v>307</v>
      </c>
      <c r="S77" s="3" t="s">
        <v>307</v>
      </c>
    </row>
    <row r="78" spans="1:19" ht="22.05" customHeight="1" x14ac:dyDescent="0.3">
      <c r="A78" s="40" t="s">
        <v>740</v>
      </c>
      <c r="B78" s="40"/>
      <c r="C78" s="40"/>
      <c r="D78" s="40"/>
      <c r="E78" s="40"/>
      <c r="F78" s="40"/>
      <c r="G78" s="40"/>
    </row>
    <row r="79" spans="1:19" ht="72" customHeight="1" x14ac:dyDescent="0.3">
      <c r="A79" s="4" t="s">
        <v>177</v>
      </c>
      <c r="B79" s="4" t="s">
        <v>741</v>
      </c>
      <c r="C79" s="4" t="s">
        <v>742</v>
      </c>
      <c r="D79" s="4" t="s">
        <v>743</v>
      </c>
      <c r="E79" s="4" t="s">
        <v>744</v>
      </c>
      <c r="F79" s="4" t="s">
        <v>745</v>
      </c>
      <c r="G79" s="4" t="s">
        <v>746</v>
      </c>
      <c r="H79" s="4" t="s">
        <v>307</v>
      </c>
      <c r="I79" s="4" t="s">
        <v>18</v>
      </c>
      <c r="J79" s="4" t="s">
        <v>267</v>
      </c>
      <c r="K79" s="4" t="s">
        <v>268</v>
      </c>
      <c r="L79" s="4" t="s">
        <v>269</v>
      </c>
      <c r="M79" s="4" t="s">
        <v>60</v>
      </c>
      <c r="N79" s="4" t="s">
        <v>747</v>
      </c>
      <c r="O79" s="4" t="s">
        <v>748</v>
      </c>
      <c r="P79" s="4" t="s">
        <v>307</v>
      </c>
      <c r="Q79" s="4" t="s">
        <v>307</v>
      </c>
      <c r="R79" s="4" t="s">
        <v>307</v>
      </c>
      <c r="S79" s="4" t="s">
        <v>307</v>
      </c>
    </row>
    <row r="80" spans="1:19" ht="72" customHeight="1" x14ac:dyDescent="0.3">
      <c r="A80" s="3" t="s">
        <v>749</v>
      </c>
      <c r="B80" s="3" t="s">
        <v>750</v>
      </c>
      <c r="C80" s="3" t="s">
        <v>751</v>
      </c>
      <c r="D80" s="3" t="s">
        <v>752</v>
      </c>
      <c r="E80" s="3" t="s">
        <v>753</v>
      </c>
      <c r="F80" s="3" t="s">
        <v>754</v>
      </c>
      <c r="G80" s="3" t="s">
        <v>755</v>
      </c>
      <c r="H80" s="3" t="s">
        <v>307</v>
      </c>
      <c r="I80" s="3" t="s">
        <v>18</v>
      </c>
      <c r="J80" s="3" t="s">
        <v>267</v>
      </c>
      <c r="K80" s="3" t="s">
        <v>268</v>
      </c>
      <c r="L80" s="3" t="s">
        <v>277</v>
      </c>
      <c r="M80" s="3" t="s">
        <v>64</v>
      </c>
      <c r="N80" s="3" t="s">
        <v>756</v>
      </c>
      <c r="O80" s="3" t="s">
        <v>172</v>
      </c>
      <c r="P80" s="3" t="s">
        <v>307</v>
      </c>
      <c r="Q80" s="3" t="s">
        <v>307</v>
      </c>
      <c r="R80" s="3" t="s">
        <v>307</v>
      </c>
      <c r="S80" s="3" t="s">
        <v>307</v>
      </c>
    </row>
    <row r="81" spans="1:19" ht="72" customHeight="1" x14ac:dyDescent="0.3">
      <c r="A81" s="4" t="s">
        <v>757</v>
      </c>
      <c r="B81" s="4" t="s">
        <v>758</v>
      </c>
      <c r="C81" s="4" t="s">
        <v>759</v>
      </c>
      <c r="D81" s="4" t="s">
        <v>760</v>
      </c>
      <c r="E81" s="4" t="s">
        <v>761</v>
      </c>
      <c r="F81" s="4" t="s">
        <v>762</v>
      </c>
      <c r="G81" s="4" t="s">
        <v>763</v>
      </c>
      <c r="H81" s="4" t="s">
        <v>307</v>
      </c>
      <c r="I81" s="4" t="s">
        <v>18</v>
      </c>
      <c r="J81" s="4" t="s">
        <v>267</v>
      </c>
      <c r="K81" s="4" t="s">
        <v>268</v>
      </c>
      <c r="L81" s="4" t="s">
        <v>269</v>
      </c>
      <c r="M81" s="4" t="s">
        <v>60</v>
      </c>
      <c r="N81" s="4" t="s">
        <v>764</v>
      </c>
      <c r="O81" s="4" t="s">
        <v>765</v>
      </c>
      <c r="P81" s="4" t="s">
        <v>307</v>
      </c>
      <c r="Q81" s="4" t="s">
        <v>307</v>
      </c>
      <c r="R81" s="4" t="s">
        <v>307</v>
      </c>
      <c r="S81" s="4" t="s">
        <v>307</v>
      </c>
    </row>
    <row r="82" spans="1:19" ht="72" customHeight="1" x14ac:dyDescent="0.3">
      <c r="A82" s="3" t="s">
        <v>180</v>
      </c>
      <c r="B82" s="3" t="s">
        <v>766</v>
      </c>
      <c r="C82" s="3" t="s">
        <v>767</v>
      </c>
      <c r="D82" s="3" t="s">
        <v>768</v>
      </c>
      <c r="E82" s="3" t="s">
        <v>769</v>
      </c>
      <c r="F82" s="3" t="s">
        <v>770</v>
      </c>
      <c r="G82" s="3" t="s">
        <v>771</v>
      </c>
      <c r="H82" s="3" t="s">
        <v>307</v>
      </c>
      <c r="I82" s="3" t="s">
        <v>18</v>
      </c>
      <c r="J82" s="3" t="s">
        <v>267</v>
      </c>
      <c r="K82" s="3" t="s">
        <v>272</v>
      </c>
      <c r="L82" s="3" t="s">
        <v>269</v>
      </c>
      <c r="M82" s="3" t="s">
        <v>60</v>
      </c>
      <c r="N82" s="3" t="s">
        <v>772</v>
      </c>
      <c r="O82" s="3" t="s">
        <v>773</v>
      </c>
      <c r="P82" s="3" t="s">
        <v>307</v>
      </c>
      <c r="Q82" s="3" t="s">
        <v>307</v>
      </c>
      <c r="R82" s="3" t="s">
        <v>307</v>
      </c>
      <c r="S82" s="3" t="s">
        <v>307</v>
      </c>
    </row>
    <row r="83" spans="1:19" ht="72" customHeight="1" x14ac:dyDescent="0.3">
      <c r="A83" s="4" t="s">
        <v>774</v>
      </c>
      <c r="B83" s="4" t="s">
        <v>775</v>
      </c>
      <c r="C83" s="4" t="s">
        <v>776</v>
      </c>
      <c r="D83" s="4" t="s">
        <v>777</v>
      </c>
      <c r="E83" s="4" t="s">
        <v>778</v>
      </c>
      <c r="F83" s="4" t="s">
        <v>779</v>
      </c>
      <c r="G83" s="4" t="s">
        <v>780</v>
      </c>
      <c r="H83" s="4" t="s">
        <v>307</v>
      </c>
      <c r="I83" s="4" t="s">
        <v>18</v>
      </c>
      <c r="J83" s="4" t="s">
        <v>267</v>
      </c>
      <c r="K83" s="4" t="s">
        <v>268</v>
      </c>
      <c r="L83" s="4" t="s">
        <v>269</v>
      </c>
      <c r="M83" s="4" t="s">
        <v>60</v>
      </c>
      <c r="N83" s="4" t="s">
        <v>781</v>
      </c>
      <c r="O83" s="4" t="s">
        <v>663</v>
      </c>
      <c r="P83" s="4" t="s">
        <v>307</v>
      </c>
      <c r="Q83" s="4" t="s">
        <v>307</v>
      </c>
      <c r="R83" s="4" t="s">
        <v>307</v>
      </c>
      <c r="S83" s="4" t="s">
        <v>307</v>
      </c>
    </row>
    <row r="84" spans="1:19" ht="72" customHeight="1" x14ac:dyDescent="0.3">
      <c r="A84" s="3" t="s">
        <v>782</v>
      </c>
      <c r="B84" s="3" t="s">
        <v>783</v>
      </c>
      <c r="C84" s="3" t="s">
        <v>784</v>
      </c>
      <c r="D84" s="3" t="s">
        <v>785</v>
      </c>
      <c r="E84" s="3" t="s">
        <v>786</v>
      </c>
      <c r="F84" s="3" t="s">
        <v>787</v>
      </c>
      <c r="G84" s="3" t="s">
        <v>788</v>
      </c>
      <c r="H84" s="3" t="s">
        <v>307</v>
      </c>
      <c r="I84" s="3" t="s">
        <v>18</v>
      </c>
      <c r="J84" s="3" t="s">
        <v>267</v>
      </c>
      <c r="K84" s="3" t="s">
        <v>268</v>
      </c>
      <c r="L84" s="3" t="s">
        <v>273</v>
      </c>
      <c r="M84" s="3" t="s">
        <v>62</v>
      </c>
      <c r="N84" s="3" t="s">
        <v>789</v>
      </c>
      <c r="O84" s="3" t="s">
        <v>790</v>
      </c>
      <c r="P84" s="3" t="s">
        <v>307</v>
      </c>
      <c r="Q84" s="3" t="s">
        <v>307</v>
      </c>
      <c r="R84" s="3" t="s">
        <v>307</v>
      </c>
      <c r="S84" s="3" t="s">
        <v>307</v>
      </c>
    </row>
    <row r="85" spans="1:19" ht="72" customHeight="1" x14ac:dyDescent="0.3">
      <c r="A85" s="4" t="s">
        <v>791</v>
      </c>
      <c r="B85" s="4" t="s">
        <v>792</v>
      </c>
      <c r="C85" s="4" t="s">
        <v>793</v>
      </c>
      <c r="D85" s="4" t="s">
        <v>794</v>
      </c>
      <c r="E85" s="4" t="s">
        <v>795</v>
      </c>
      <c r="F85" s="4" t="s">
        <v>796</v>
      </c>
      <c r="G85" s="4" t="s">
        <v>797</v>
      </c>
      <c r="H85" s="4" t="s">
        <v>307</v>
      </c>
      <c r="I85" s="4" t="s">
        <v>18</v>
      </c>
      <c r="J85" s="4" t="s">
        <v>275</v>
      </c>
      <c r="K85" s="4" t="s">
        <v>112</v>
      </c>
      <c r="L85" s="4" t="s">
        <v>273</v>
      </c>
      <c r="M85" s="4" t="s">
        <v>62</v>
      </c>
      <c r="N85" s="4" t="s">
        <v>798</v>
      </c>
      <c r="O85" s="4" t="s">
        <v>176</v>
      </c>
      <c r="P85" s="4" t="s">
        <v>307</v>
      </c>
      <c r="Q85" s="4" t="s">
        <v>307</v>
      </c>
      <c r="R85" s="4" t="s">
        <v>307</v>
      </c>
      <c r="S85" s="4" t="s">
        <v>307</v>
      </c>
    </row>
    <row r="86" spans="1:19" ht="72" customHeight="1" x14ac:dyDescent="0.3">
      <c r="A86" s="3" t="s">
        <v>799</v>
      </c>
      <c r="B86" s="3" t="s">
        <v>800</v>
      </c>
      <c r="C86" s="3" t="s">
        <v>801</v>
      </c>
      <c r="D86" s="3" t="s">
        <v>802</v>
      </c>
      <c r="E86" s="3" t="s">
        <v>803</v>
      </c>
      <c r="F86" s="3" t="s">
        <v>804</v>
      </c>
      <c r="G86" s="3" t="s">
        <v>805</v>
      </c>
      <c r="H86" s="3" t="s">
        <v>307</v>
      </c>
      <c r="I86" s="3" t="s">
        <v>18</v>
      </c>
      <c r="J86" s="3" t="s">
        <v>267</v>
      </c>
      <c r="K86" s="3" t="s">
        <v>268</v>
      </c>
      <c r="L86" s="3" t="s">
        <v>273</v>
      </c>
      <c r="M86" s="3" t="s">
        <v>62</v>
      </c>
      <c r="N86" s="3" t="s">
        <v>806</v>
      </c>
      <c r="O86" s="3" t="s">
        <v>663</v>
      </c>
      <c r="P86" s="3" t="s">
        <v>307</v>
      </c>
      <c r="Q86" s="3" t="s">
        <v>307</v>
      </c>
      <c r="R86" s="3" t="s">
        <v>307</v>
      </c>
      <c r="S86" s="3" t="s">
        <v>307</v>
      </c>
    </row>
    <row r="87" spans="1:19" ht="22.05" customHeight="1" x14ac:dyDescent="0.3">
      <c r="A87" s="40" t="s">
        <v>807</v>
      </c>
      <c r="B87" s="40"/>
      <c r="C87" s="40"/>
      <c r="D87" s="40"/>
      <c r="E87" s="40"/>
      <c r="F87" s="40"/>
      <c r="G87" s="40"/>
    </row>
    <row r="88" spans="1:19" ht="72" customHeight="1" x14ac:dyDescent="0.3">
      <c r="A88" s="4" t="s">
        <v>808</v>
      </c>
      <c r="B88" s="4" t="s">
        <v>809</v>
      </c>
      <c r="C88" s="4" t="s">
        <v>810</v>
      </c>
      <c r="D88" s="4" t="s">
        <v>811</v>
      </c>
      <c r="E88" s="4" t="s">
        <v>812</v>
      </c>
      <c r="F88" s="4" t="s">
        <v>813</v>
      </c>
      <c r="G88" s="4" t="s">
        <v>814</v>
      </c>
      <c r="H88" s="4" t="s">
        <v>307</v>
      </c>
      <c r="I88" s="4" t="s">
        <v>18</v>
      </c>
      <c r="J88" s="4" t="s">
        <v>275</v>
      </c>
      <c r="K88" s="4" t="s">
        <v>276</v>
      </c>
      <c r="L88" s="4" t="s">
        <v>280</v>
      </c>
      <c r="M88" s="4" t="s">
        <v>66</v>
      </c>
      <c r="N88" s="4" t="s">
        <v>109</v>
      </c>
      <c r="O88" s="4" t="s">
        <v>815</v>
      </c>
      <c r="P88" s="4" t="s">
        <v>307</v>
      </c>
      <c r="Q88" s="4" t="s">
        <v>307</v>
      </c>
      <c r="R88" s="4" t="s">
        <v>307</v>
      </c>
      <c r="S88" s="4" t="s">
        <v>307</v>
      </c>
    </row>
    <row r="89" spans="1:19" ht="72" customHeight="1" x14ac:dyDescent="0.3">
      <c r="A89" s="3" t="s">
        <v>816</v>
      </c>
      <c r="B89" s="3" t="s">
        <v>809</v>
      </c>
      <c r="C89" s="3" t="s">
        <v>817</v>
      </c>
      <c r="D89" s="3" t="s">
        <v>818</v>
      </c>
      <c r="E89" s="3" t="s">
        <v>819</v>
      </c>
      <c r="F89" s="3" t="s">
        <v>820</v>
      </c>
      <c r="G89" s="3" t="s">
        <v>821</v>
      </c>
      <c r="H89" s="3" t="s">
        <v>307</v>
      </c>
      <c r="I89" s="3" t="s">
        <v>18</v>
      </c>
      <c r="J89" s="3" t="s">
        <v>271</v>
      </c>
      <c r="K89" s="3" t="s">
        <v>272</v>
      </c>
      <c r="L89" s="3" t="s">
        <v>280</v>
      </c>
      <c r="M89" s="3" t="s">
        <v>66</v>
      </c>
      <c r="N89" s="3" t="s">
        <v>109</v>
      </c>
      <c r="O89" s="3" t="s">
        <v>822</v>
      </c>
      <c r="P89" s="3" t="s">
        <v>307</v>
      </c>
      <c r="Q89" s="3" t="s">
        <v>307</v>
      </c>
      <c r="R89" s="3" t="s">
        <v>307</v>
      </c>
      <c r="S89" s="3" t="s">
        <v>307</v>
      </c>
    </row>
    <row r="90" spans="1:19" ht="72" customHeight="1" x14ac:dyDescent="0.3">
      <c r="A90" s="4" t="s">
        <v>823</v>
      </c>
      <c r="B90" s="4" t="s">
        <v>824</v>
      </c>
      <c r="C90" s="4" t="s">
        <v>825</v>
      </c>
      <c r="D90" s="4" t="s">
        <v>826</v>
      </c>
      <c r="E90" s="4" t="s">
        <v>827</v>
      </c>
      <c r="F90" s="4" t="s">
        <v>828</v>
      </c>
      <c r="G90" s="4" t="s">
        <v>829</v>
      </c>
      <c r="H90" s="4" t="s">
        <v>307</v>
      </c>
      <c r="I90" s="4" t="s">
        <v>18</v>
      </c>
      <c r="J90" s="4" t="s">
        <v>267</v>
      </c>
      <c r="K90" s="4" t="s">
        <v>272</v>
      </c>
      <c r="L90" s="4" t="s">
        <v>277</v>
      </c>
      <c r="M90" s="4" t="s">
        <v>64</v>
      </c>
      <c r="N90" s="4" t="s">
        <v>830</v>
      </c>
      <c r="O90" s="4" t="s">
        <v>831</v>
      </c>
      <c r="P90" s="4" t="s">
        <v>307</v>
      </c>
      <c r="Q90" s="4" t="s">
        <v>307</v>
      </c>
      <c r="R90" s="4" t="s">
        <v>307</v>
      </c>
      <c r="S90" s="4" t="s">
        <v>307</v>
      </c>
    </row>
    <row r="91" spans="1:19" ht="72" customHeight="1" x14ac:dyDescent="0.3">
      <c r="A91" s="3" t="s">
        <v>832</v>
      </c>
      <c r="B91" s="3" t="s">
        <v>833</v>
      </c>
      <c r="C91" s="3" t="s">
        <v>834</v>
      </c>
      <c r="D91" s="3" t="s">
        <v>835</v>
      </c>
      <c r="E91" s="3" t="s">
        <v>836</v>
      </c>
      <c r="F91" s="3" t="s">
        <v>837</v>
      </c>
      <c r="G91" s="3" t="s">
        <v>838</v>
      </c>
      <c r="H91" s="3" t="s">
        <v>307</v>
      </c>
      <c r="I91" s="3" t="s">
        <v>18</v>
      </c>
      <c r="J91" s="3" t="s">
        <v>271</v>
      </c>
      <c r="K91" s="3" t="s">
        <v>276</v>
      </c>
      <c r="L91" s="3" t="s">
        <v>280</v>
      </c>
      <c r="M91" s="3" t="s">
        <v>66</v>
      </c>
      <c r="N91" s="3" t="s">
        <v>109</v>
      </c>
      <c r="O91" s="3" t="s">
        <v>839</v>
      </c>
      <c r="P91" s="3" t="s">
        <v>307</v>
      </c>
      <c r="Q91" s="3" t="s">
        <v>307</v>
      </c>
      <c r="R91" s="3" t="s">
        <v>307</v>
      </c>
      <c r="S91" s="3" t="s">
        <v>307</v>
      </c>
    </row>
    <row r="92" spans="1:19" ht="72" customHeight="1" x14ac:dyDescent="0.3">
      <c r="A92" s="4" t="s">
        <v>840</v>
      </c>
      <c r="B92" s="4" t="s">
        <v>841</v>
      </c>
      <c r="C92" s="4" t="s">
        <v>842</v>
      </c>
      <c r="D92" s="4" t="s">
        <v>843</v>
      </c>
      <c r="E92" s="4" t="s">
        <v>844</v>
      </c>
      <c r="F92" s="4" t="s">
        <v>845</v>
      </c>
      <c r="G92" s="4" t="s">
        <v>846</v>
      </c>
      <c r="H92" s="4" t="s">
        <v>307</v>
      </c>
      <c r="I92" s="4" t="s">
        <v>18</v>
      </c>
      <c r="J92" s="4" t="s">
        <v>275</v>
      </c>
      <c r="K92" s="4" t="s">
        <v>276</v>
      </c>
      <c r="L92" s="4" t="s">
        <v>273</v>
      </c>
      <c r="M92" s="4" t="s">
        <v>62</v>
      </c>
      <c r="N92" s="4" t="s">
        <v>847</v>
      </c>
      <c r="O92" s="4" t="s">
        <v>848</v>
      </c>
      <c r="P92" s="4" t="s">
        <v>307</v>
      </c>
      <c r="Q92" s="4" t="s">
        <v>307</v>
      </c>
      <c r="R92" s="4" t="s">
        <v>307</v>
      </c>
      <c r="S92" s="4" t="s">
        <v>307</v>
      </c>
    </row>
    <row r="93" spans="1:19" ht="72" customHeight="1" x14ac:dyDescent="0.3">
      <c r="A93" s="3" t="s">
        <v>849</v>
      </c>
      <c r="B93" s="3" t="s">
        <v>809</v>
      </c>
      <c r="C93" s="3" t="s">
        <v>850</v>
      </c>
      <c r="D93" s="3" t="s">
        <v>851</v>
      </c>
      <c r="E93" s="3" t="s">
        <v>852</v>
      </c>
      <c r="F93" s="3" t="s">
        <v>853</v>
      </c>
      <c r="G93" s="3" t="s">
        <v>854</v>
      </c>
      <c r="H93" s="3" t="s">
        <v>307</v>
      </c>
      <c r="I93" s="3" t="s">
        <v>18</v>
      </c>
      <c r="J93" s="3" t="s">
        <v>267</v>
      </c>
      <c r="K93" s="3" t="s">
        <v>268</v>
      </c>
      <c r="L93" s="3" t="s">
        <v>280</v>
      </c>
      <c r="M93" s="3" t="s">
        <v>66</v>
      </c>
      <c r="N93" s="3" t="s">
        <v>109</v>
      </c>
      <c r="O93" s="3" t="s">
        <v>855</v>
      </c>
      <c r="P93" s="3" t="s">
        <v>307</v>
      </c>
      <c r="Q93" s="3" t="s">
        <v>307</v>
      </c>
      <c r="R93" s="3" t="s">
        <v>307</v>
      </c>
      <c r="S93" s="3" t="s">
        <v>307</v>
      </c>
    </row>
  </sheetData>
  <autoFilter ref="A7:S93" xr:uid="{00000000-0009-0000-0000-000004000000}"/>
  <mergeCells count="16">
    <mergeCell ref="A1:S1"/>
    <mergeCell ref="A2:S2"/>
    <mergeCell ref="A3:S3"/>
    <mergeCell ref="A5:S5"/>
    <mergeCell ref="A8:G8"/>
    <mergeCell ref="A13:G13"/>
    <mergeCell ref="A24:G24"/>
    <mergeCell ref="A31:G31"/>
    <mergeCell ref="A38:G38"/>
    <mergeCell ref="A44:G44"/>
    <mergeCell ref="A87:G87"/>
    <mergeCell ref="A51:G51"/>
    <mergeCell ref="A62:G62"/>
    <mergeCell ref="A69:G69"/>
    <mergeCell ref="A75:G75"/>
    <mergeCell ref="A78:G78"/>
  </mergeCells>
  <pageMargins left="0.7" right="0.7" top="0.75" bottom="0.75" header="0.3" footer="0.3"/>
  <pageSetup orientation="landscape" horizontalDpi="4294967295" verticalDpi="429496729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400-000001000000}">
            <xm:f>NOT(ISERROR(SEARCH("Pass",I8)))</xm:f>
            <x14:dxf>
              <font>
                <color rgb="FF006100"/>
              </font>
              <fill>
                <patternFill patternType="solid">
                  <bgColor rgb="FFC6EFCE"/>
                </patternFill>
              </fill>
            </x14:dxf>
          </x14:cfRule>
          <x14:cfRule type="containsText" priority="2" operator="containsText" id="{00000000-000E-0000-0400-000002000000}">
            <xm:f>NOT(ISERROR(SEARCH("Fail",I8)))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14:cfRule type="containsText" priority="3" operator="containsText" id="{00000000-000E-0000-0400-000003000000}">
            <xm:f>NOT(ISERROR(SEARCH("Blocked",I8)))</xm:f>
            <x14:dxf>
              <fill>
                <patternFill patternType="solid">
                  <bgColor rgb="FFFCE4D6"/>
                </patternFill>
              </fill>
            </x14:dxf>
          </x14:cfRule>
          <x14:cfRule type="containsText" priority="4" operator="containsText" id="{00000000-000E-0000-0400-000004000000}">
            <xm:f>NOT(ISERROR(SEARCH("Not Executed",I8)))</xm:f>
            <x14:dxf>
              <fill>
                <patternFill patternType="solid">
                  <bgColor rgb="FFF2F2F2"/>
                </patternFill>
              </fill>
            </x14:dxf>
          </x14:cfRule>
          <xm:sqref>I8:I93</xm:sqref>
        </x14:conditionalFormatting>
        <x14:conditionalFormatting xmlns:xm="http://schemas.microsoft.com/office/excel/2006/main">
          <x14:cfRule type="containsText" priority="5" operator="containsText" id="{00000000-000E-0000-0400-000005000000}">
            <xm:f>NOT(ISERROR(SEARCH("Critical",J8)))</xm:f>
            <x14:dxf>
              <fill>
                <patternFill patternType="solid">
                  <bgColor rgb="FFFFC7CE"/>
                </patternFill>
              </fill>
            </x14:dxf>
          </x14:cfRule>
          <xm:sqref>J8:J93</xm:sqref>
        </x14:conditionalFormatting>
        <x14:conditionalFormatting xmlns:xm="http://schemas.microsoft.com/office/excel/2006/main">
          <x14:cfRule type="containsText" priority="6" operator="containsText" id="{00000000-000E-0000-0400-000006000000}">
            <xm:f>NOT(ISERROR(SEARCH("Automated (API)",M8)))</xm:f>
            <x14:dxf>
              <fill>
                <patternFill patternType="solid">
                  <bgColor rgb="FFC6EFCE"/>
                </patternFill>
              </fill>
            </x14:dxf>
          </x14:cfRule>
          <x14:cfRule type="containsText" priority="7" operator="containsText" id="{00000000-000E-0000-0400-000007000000}">
            <xm:f>NOT(ISERROR(SEARCH("Partial",M8)))</xm:f>
            <x14:dxf>
              <fill>
                <patternFill patternType="solid">
                  <bgColor rgb="FFFFF2CC"/>
                </patternFill>
              </fill>
            </x14:dxf>
          </x14:cfRule>
          <x14:cfRule type="containsText" priority="8" operator="containsText" id="{00000000-000E-0000-0400-000008000000}">
            <xm:f>NOT(ISERROR(SEARCH("Gap (API)",M8)))</xm:f>
            <x14:dxf>
              <fill>
                <patternFill patternType="solid">
                  <bgColor rgb="FFFCE4D6"/>
                </patternFill>
              </fill>
            </x14:dxf>
          </x14:cfRule>
          <x14:cfRule type="containsText" priority="9" operator="containsText" id="{00000000-000E-0000-0400-000009000000}">
            <xm:f>NOT(ISERROR(SEARCH("Gap (UI)",M8)))</xm:f>
            <x14:dxf>
              <fill>
                <patternFill patternType="solid">
                  <bgColor rgb="FFF2F2F2"/>
                </patternFill>
              </fill>
            </x14:dxf>
          </x14:cfRule>
          <xm:sqref>M8:M93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="Pick a status from the list" xr:uid="{00000000-0002-0000-0400-000000000000}">
          <x14:formula1>
            <xm:f>LISTS!$A$2:$A$6</xm:f>
          </x14:formula1>
          <xm:sqref>I8:I93</xm:sqref>
        </x14:dataValidation>
        <x14:dataValidation type="list" allowBlank="1" xr:uid="{00000000-0002-0000-0400-000001000000}">
          <x14:formula1>
            <xm:f>LISTS!$B$2:$B$5</xm:f>
          </x14:formula1>
          <xm:sqref>J8:J93</xm:sqref>
        </x14:dataValidation>
        <x14:dataValidation type="list" allowBlank="1" xr:uid="{00000000-0002-0000-0400-000002000000}">
          <x14:formula1>
            <xm:f>LISTS!$C$2:$C$5</xm:f>
          </x14:formula1>
          <xm:sqref>K8:K93</xm:sqref>
        </x14:dataValidation>
        <x14:dataValidation type="list" allowBlank="1" xr:uid="{00000000-0002-0000-0400-000003000000}">
          <x14:formula1>
            <xm:f>LISTS!$E$2:$E$5</xm:f>
          </x14:formula1>
          <xm:sqref>L8:L93</xm:sqref>
        </x14:dataValidation>
        <x14:dataValidation type="list" allowBlank="1" xr:uid="{00000000-0002-0000-0400-000004000000}">
          <x14:formula1>
            <xm:f>LISTS!$D$2:$D$5</xm:f>
          </x14:formula1>
          <xm:sqref>M8:M93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79CE-E1EC-4AD7-BFD8-E9A3A8E055E5}">
  <dimension ref="A1:I1"/>
  <sheetViews>
    <sheetView tabSelected="1" workbookViewId="0">
      <selection activeCell="F6" sqref="F6"/>
    </sheetView>
  </sheetViews>
  <sheetFormatPr defaultRowHeight="14.4" x14ac:dyDescent="0.3"/>
  <cols>
    <col min="2" max="2" width="18.5546875" customWidth="1"/>
    <col min="3" max="3" width="45.44140625" customWidth="1"/>
    <col min="4" max="4" width="40.33203125" customWidth="1"/>
    <col min="5" max="5" width="35.6640625" customWidth="1"/>
    <col min="6" max="6" width="35" customWidth="1"/>
    <col min="7" max="7" width="15.88671875" customWidth="1"/>
    <col min="8" max="8" width="12.5546875" customWidth="1"/>
    <col min="9" max="9" width="38.33203125" customWidth="1"/>
  </cols>
  <sheetData>
    <row r="1" spans="1:9" ht="39.6" x14ac:dyDescent="0.3">
      <c r="A1" s="42" t="s">
        <v>901</v>
      </c>
      <c r="B1" s="42" t="s">
        <v>902</v>
      </c>
      <c r="C1" s="42" t="s">
        <v>903</v>
      </c>
      <c r="D1" s="42" t="s">
        <v>904</v>
      </c>
      <c r="E1" s="42" t="s">
        <v>291</v>
      </c>
      <c r="F1" s="42" t="s">
        <v>292</v>
      </c>
      <c r="G1" s="42" t="s">
        <v>905</v>
      </c>
      <c r="H1" s="42" t="s">
        <v>122</v>
      </c>
      <c r="I1" s="42" t="s">
        <v>906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3"/>
  <sheetViews>
    <sheetView showGridLines="0" topLeftCell="A10" workbookViewId="0">
      <selection activeCell="A9" sqref="A9"/>
    </sheetView>
  </sheetViews>
  <sheetFormatPr defaultRowHeight="14.4" x14ac:dyDescent="0.3"/>
  <cols>
    <col min="1" max="1" width="32" customWidth="1"/>
    <col min="2" max="2" width="16" customWidth="1"/>
    <col min="3" max="3" width="56" customWidth="1"/>
    <col min="4" max="4" width="48" customWidth="1"/>
    <col min="5" max="6" width="18" customWidth="1"/>
  </cols>
  <sheetData>
    <row r="1" spans="1:6" ht="28.05" customHeight="1" x14ac:dyDescent="0.3">
      <c r="A1" s="33" t="s">
        <v>900</v>
      </c>
      <c r="B1" s="33"/>
      <c r="C1" s="33"/>
      <c r="D1" s="33"/>
      <c r="E1" s="33"/>
      <c r="F1" s="33"/>
    </row>
    <row r="3" spans="1:6" x14ac:dyDescent="0.3">
      <c r="A3" s="32" t="s">
        <v>856</v>
      </c>
      <c r="B3" s="32"/>
      <c r="C3" s="32"/>
      <c r="D3" s="32"/>
    </row>
    <row r="4" spans="1:6" x14ac:dyDescent="0.3">
      <c r="A4" s="1" t="s">
        <v>57</v>
      </c>
      <c r="B4" s="1" t="s">
        <v>58</v>
      </c>
      <c r="C4" s="1" t="s">
        <v>857</v>
      </c>
      <c r="D4" s="1" t="s">
        <v>858</v>
      </c>
    </row>
    <row r="5" spans="1:6" x14ac:dyDescent="0.3">
      <c r="A5" s="3" t="s">
        <v>33</v>
      </c>
      <c r="B5" s="21">
        <v>126482</v>
      </c>
      <c r="C5" s="3" t="s">
        <v>859</v>
      </c>
      <c r="D5" s="3" t="s">
        <v>860</v>
      </c>
    </row>
    <row r="6" spans="1:6" x14ac:dyDescent="0.3">
      <c r="A6" s="3" t="s">
        <v>36</v>
      </c>
      <c r="B6" s="21">
        <v>126474</v>
      </c>
      <c r="C6" s="3" t="s">
        <v>861</v>
      </c>
      <c r="D6" s="3" t="s">
        <v>862</v>
      </c>
    </row>
    <row r="7" spans="1:6" x14ac:dyDescent="0.3">
      <c r="A7" s="3" t="s">
        <v>38</v>
      </c>
      <c r="B7" s="21">
        <v>8</v>
      </c>
      <c r="C7" s="3" t="s">
        <v>863</v>
      </c>
      <c r="D7" s="3" t="s">
        <v>862</v>
      </c>
    </row>
    <row r="8" spans="1:6" x14ac:dyDescent="0.3">
      <c r="A8" s="3" t="s">
        <v>40</v>
      </c>
      <c r="B8" s="21">
        <v>177</v>
      </c>
      <c r="C8" s="3" t="s">
        <v>864</v>
      </c>
      <c r="D8" s="3" t="s">
        <v>865</v>
      </c>
    </row>
    <row r="10" spans="1:6" x14ac:dyDescent="0.3">
      <c r="A10" s="5" t="s">
        <v>866</v>
      </c>
      <c r="B10" s="22">
        <f>B6+B7</f>
        <v>126482</v>
      </c>
      <c r="C10" s="5" t="s">
        <v>867</v>
      </c>
      <c r="D10" s="5" t="str">
        <f>IF(B10=B5,"PASS","FAIL — gap "&amp;(B5-B10))</f>
        <v>PASS</v>
      </c>
    </row>
    <row r="12" spans="1:6" x14ac:dyDescent="0.3">
      <c r="A12" s="32" t="s">
        <v>42</v>
      </c>
      <c r="B12" s="32"/>
      <c r="C12" s="32"/>
      <c r="D12" s="32"/>
    </row>
    <row r="13" spans="1:6" x14ac:dyDescent="0.3">
      <c r="A13" s="1" t="s">
        <v>868</v>
      </c>
      <c r="B13" s="1" t="s">
        <v>58</v>
      </c>
      <c r="C13" s="1" t="s">
        <v>869</v>
      </c>
      <c r="D13" s="1" t="s">
        <v>870</v>
      </c>
    </row>
    <row r="14" spans="1:6" x14ac:dyDescent="0.3">
      <c r="A14" s="3" t="s">
        <v>226</v>
      </c>
      <c r="B14" s="21">
        <v>1</v>
      </c>
      <c r="C14" s="23">
        <v>0</v>
      </c>
      <c r="D14" s="3" t="s">
        <v>871</v>
      </c>
    </row>
    <row r="15" spans="1:6" x14ac:dyDescent="0.3">
      <c r="A15" s="3" t="s">
        <v>229</v>
      </c>
      <c r="B15" s="21">
        <v>126481</v>
      </c>
      <c r="C15" s="23">
        <v>1</v>
      </c>
      <c r="D15" s="3" t="s">
        <v>872</v>
      </c>
    </row>
    <row r="16" spans="1:6" x14ac:dyDescent="0.3">
      <c r="A16" s="3" t="s">
        <v>198</v>
      </c>
      <c r="B16" s="21">
        <v>126482</v>
      </c>
      <c r="C16" s="23">
        <v>1</v>
      </c>
      <c r="D16" s="3" t="s">
        <v>873</v>
      </c>
    </row>
    <row r="17" spans="1:4" x14ac:dyDescent="0.3">
      <c r="A17" s="5" t="s">
        <v>874</v>
      </c>
      <c r="B17" s="22">
        <f>B14+B15</f>
        <v>126482</v>
      </c>
      <c r="C17" s="5" t="s">
        <v>875</v>
      </c>
      <c r="D17" s="5" t="str">
        <f>IF(B17=B16,"PASS","FAIL — gap "&amp;(B16-B17))</f>
        <v>PASS</v>
      </c>
    </row>
    <row r="19" spans="1:4" x14ac:dyDescent="0.3">
      <c r="A19" s="32" t="s">
        <v>45</v>
      </c>
      <c r="B19" s="32"/>
      <c r="C19" s="32"/>
      <c r="D19" s="32"/>
    </row>
    <row r="20" spans="1:4" x14ac:dyDescent="0.3">
      <c r="A20" s="1" t="s">
        <v>876</v>
      </c>
      <c r="B20" s="1" t="s">
        <v>58</v>
      </c>
      <c r="C20" s="1" t="s">
        <v>869</v>
      </c>
      <c r="D20" s="1" t="s">
        <v>870</v>
      </c>
    </row>
    <row r="21" spans="1:4" x14ac:dyDescent="0.3">
      <c r="A21" s="3" t="s">
        <v>231</v>
      </c>
      <c r="B21" s="21">
        <v>111424</v>
      </c>
      <c r="C21" s="24">
        <v>0.88100000000000001</v>
      </c>
      <c r="D21" s="3" t="s">
        <v>231</v>
      </c>
    </row>
    <row r="22" spans="1:4" x14ac:dyDescent="0.3">
      <c r="A22" s="3" t="s">
        <v>233</v>
      </c>
      <c r="B22" s="21">
        <v>15057</v>
      </c>
      <c r="C22" s="24">
        <v>0.11899999999999999</v>
      </c>
      <c r="D22" s="3" t="s">
        <v>233</v>
      </c>
    </row>
    <row r="23" spans="1:4" x14ac:dyDescent="0.3">
      <c r="A23" s="3" t="s">
        <v>235</v>
      </c>
      <c r="B23" s="21">
        <v>1</v>
      </c>
      <c r="C23" s="24">
        <v>0</v>
      </c>
      <c r="D23" s="3" t="s">
        <v>235</v>
      </c>
    </row>
    <row r="24" spans="1:4" x14ac:dyDescent="0.3">
      <c r="A24" s="3" t="s">
        <v>198</v>
      </c>
      <c r="B24" s="21">
        <v>126482</v>
      </c>
      <c r="C24" s="24">
        <v>1</v>
      </c>
      <c r="D24" s="3" t="s">
        <v>877</v>
      </c>
    </row>
    <row r="25" spans="1:4" x14ac:dyDescent="0.3">
      <c r="A25" s="5" t="s">
        <v>878</v>
      </c>
      <c r="B25" s="22">
        <f>SUM(B21:B23)</f>
        <v>126482</v>
      </c>
      <c r="C25" s="5" t="s">
        <v>879</v>
      </c>
      <c r="D25" s="5" t="str">
        <f>IF(B25=B24,"PASS","FAIL — gap "&amp;(B24-B25))</f>
        <v>PASS</v>
      </c>
    </row>
    <row r="27" spans="1:4" x14ac:dyDescent="0.3">
      <c r="A27" s="32" t="s">
        <v>47</v>
      </c>
      <c r="B27" s="32"/>
      <c r="C27" s="32"/>
      <c r="D27" s="32"/>
    </row>
    <row r="28" spans="1:4" x14ac:dyDescent="0.3">
      <c r="A28" s="1" t="s">
        <v>122</v>
      </c>
      <c r="B28" s="1" t="s">
        <v>58</v>
      </c>
      <c r="C28" s="1" t="s">
        <v>869</v>
      </c>
      <c r="D28" s="1" t="s">
        <v>870</v>
      </c>
    </row>
    <row r="29" spans="1:4" x14ac:dyDescent="0.3">
      <c r="A29" s="3" t="s">
        <v>237</v>
      </c>
      <c r="B29" s="21">
        <v>122639</v>
      </c>
      <c r="C29" s="24">
        <v>0.97</v>
      </c>
      <c r="D29" s="3" t="s">
        <v>880</v>
      </c>
    </row>
    <row r="30" spans="1:4" x14ac:dyDescent="0.3">
      <c r="A30" s="3" t="s">
        <v>239</v>
      </c>
      <c r="B30" s="21">
        <v>3838</v>
      </c>
      <c r="C30" s="24">
        <v>0.03</v>
      </c>
      <c r="D30" s="3" t="s">
        <v>881</v>
      </c>
    </row>
    <row r="31" spans="1:4" x14ac:dyDescent="0.3">
      <c r="A31" s="3" t="s">
        <v>198</v>
      </c>
      <c r="B31" s="21">
        <v>126482</v>
      </c>
      <c r="C31" s="24">
        <v>1</v>
      </c>
      <c r="D31" s="3" t="s">
        <v>882</v>
      </c>
    </row>
    <row r="32" spans="1:4" x14ac:dyDescent="0.3">
      <c r="A32" s="25" t="s">
        <v>883</v>
      </c>
      <c r="B32" s="26">
        <f>B29+B30</f>
        <v>126477</v>
      </c>
      <c r="C32" s="25" t="s">
        <v>884</v>
      </c>
      <c r="D32" s="25" t="str">
        <f>IF(B32=B31,"PASS","FAIL — gap "&amp;(B31-B32)&amp;" (check Permanently Disconnected)")</f>
        <v>FAIL — gap 5 (check Permanently Disconnected)</v>
      </c>
    </row>
    <row r="34" spans="1:4" x14ac:dyDescent="0.3">
      <c r="A34" s="32" t="s">
        <v>49</v>
      </c>
      <c r="B34" s="32"/>
      <c r="C34" s="32"/>
      <c r="D34" s="32"/>
    </row>
    <row r="35" spans="1:4" x14ac:dyDescent="0.3">
      <c r="A35" s="1" t="s">
        <v>885</v>
      </c>
      <c r="B35" s="1" t="s">
        <v>58</v>
      </c>
      <c r="C35" s="1" t="s">
        <v>869</v>
      </c>
      <c r="D35" s="1" t="s">
        <v>870</v>
      </c>
    </row>
    <row r="36" spans="1:4" x14ac:dyDescent="0.3">
      <c r="A36" s="3" t="s">
        <v>241</v>
      </c>
      <c r="B36" s="21">
        <v>113561</v>
      </c>
      <c r="C36" s="24">
        <v>0.89800000000000002</v>
      </c>
      <c r="D36" s="3" t="s">
        <v>241</v>
      </c>
    </row>
    <row r="37" spans="1:4" x14ac:dyDescent="0.3">
      <c r="A37" s="3" t="s">
        <v>243</v>
      </c>
      <c r="B37" s="21">
        <v>12628</v>
      </c>
      <c r="C37" s="24">
        <v>0.1</v>
      </c>
      <c r="D37" s="3" t="s">
        <v>243</v>
      </c>
    </row>
    <row r="38" spans="1:4" x14ac:dyDescent="0.3">
      <c r="A38" s="3" t="s">
        <v>245</v>
      </c>
      <c r="B38" s="21">
        <v>293</v>
      </c>
      <c r="C38" s="24">
        <v>2E-3</v>
      </c>
      <c r="D38" s="3" t="s">
        <v>245</v>
      </c>
    </row>
    <row r="39" spans="1:4" x14ac:dyDescent="0.3">
      <c r="A39" s="3" t="s">
        <v>198</v>
      </c>
      <c r="B39" s="21">
        <v>126482</v>
      </c>
      <c r="C39" s="24">
        <v>1</v>
      </c>
      <c r="D39" s="3" t="s">
        <v>886</v>
      </c>
    </row>
    <row r="40" spans="1:4" x14ac:dyDescent="0.3">
      <c r="A40" s="5" t="s">
        <v>887</v>
      </c>
      <c r="B40" s="22">
        <f>SUM(B36:B38)</f>
        <v>126482</v>
      </c>
      <c r="C40" s="5" t="s">
        <v>888</v>
      </c>
      <c r="D40" s="5" t="str">
        <f>IF(B40=B39,"PASS","FAIL — gap "&amp;(B39-B40))</f>
        <v>PASS</v>
      </c>
    </row>
    <row r="42" spans="1:4" x14ac:dyDescent="0.3">
      <c r="A42" s="32" t="s">
        <v>51</v>
      </c>
      <c r="B42" s="32"/>
      <c r="C42" s="32"/>
      <c r="D42" s="32"/>
    </row>
    <row r="43" spans="1:4" x14ac:dyDescent="0.3">
      <c r="A43" s="1" t="s">
        <v>247</v>
      </c>
      <c r="B43" s="1" t="s">
        <v>58</v>
      </c>
      <c r="C43" s="1" t="s">
        <v>869</v>
      </c>
      <c r="D43" s="1" t="s">
        <v>870</v>
      </c>
    </row>
    <row r="44" spans="1:4" x14ac:dyDescent="0.3">
      <c r="A44" s="3" t="s">
        <v>248</v>
      </c>
      <c r="B44" s="21">
        <v>90580</v>
      </c>
      <c r="C44" s="27">
        <v>0.71609999999999996</v>
      </c>
      <c r="D44" s="3" t="s">
        <v>889</v>
      </c>
    </row>
    <row r="45" spans="1:4" x14ac:dyDescent="0.3">
      <c r="A45" s="3" t="s">
        <v>250</v>
      </c>
      <c r="B45" s="21">
        <v>21196</v>
      </c>
      <c r="C45" s="27">
        <v>0.1676</v>
      </c>
      <c r="D45" s="3" t="s">
        <v>890</v>
      </c>
    </row>
    <row r="46" spans="1:4" x14ac:dyDescent="0.3">
      <c r="A46" s="3" t="s">
        <v>252</v>
      </c>
      <c r="B46" s="21">
        <v>1181</v>
      </c>
      <c r="C46" s="27">
        <v>9.2999999999999992E-3</v>
      </c>
      <c r="D46" s="3" t="s">
        <v>891</v>
      </c>
    </row>
    <row r="47" spans="1:4" x14ac:dyDescent="0.3">
      <c r="A47" s="10" t="s">
        <v>254</v>
      </c>
      <c r="B47" s="28">
        <v>0</v>
      </c>
      <c r="C47" s="29">
        <v>0</v>
      </c>
      <c r="D47" s="10" t="s">
        <v>892</v>
      </c>
    </row>
    <row r="48" spans="1:4" x14ac:dyDescent="0.3">
      <c r="A48" s="3" t="s">
        <v>256</v>
      </c>
      <c r="B48" s="21">
        <v>11950</v>
      </c>
      <c r="C48" s="27">
        <v>9.4500000000000001E-2</v>
      </c>
      <c r="D48" s="3" t="s">
        <v>893</v>
      </c>
    </row>
    <row r="49" spans="1:4" x14ac:dyDescent="0.3">
      <c r="A49" s="3" t="s">
        <v>258</v>
      </c>
      <c r="B49" s="21">
        <v>7</v>
      </c>
      <c r="C49" s="27">
        <v>1E-4</v>
      </c>
      <c r="D49" s="3" t="s">
        <v>894</v>
      </c>
    </row>
    <row r="50" spans="1:4" x14ac:dyDescent="0.3">
      <c r="A50" s="3" t="s">
        <v>260</v>
      </c>
      <c r="B50" s="21">
        <v>1567</v>
      </c>
      <c r="C50" s="27">
        <v>1.24E-2</v>
      </c>
      <c r="D50" s="3" t="s">
        <v>895</v>
      </c>
    </row>
    <row r="51" spans="1:4" x14ac:dyDescent="0.3">
      <c r="A51" s="3" t="s">
        <v>262</v>
      </c>
      <c r="B51" s="21">
        <v>1</v>
      </c>
      <c r="C51" s="27">
        <v>1.0000000000000001E-5</v>
      </c>
      <c r="D51" s="3" t="s">
        <v>896</v>
      </c>
    </row>
    <row r="52" spans="1:4" x14ac:dyDescent="0.3">
      <c r="A52" s="10" t="s">
        <v>264</v>
      </c>
      <c r="B52" s="28">
        <v>0</v>
      </c>
      <c r="C52" s="29">
        <v>0</v>
      </c>
      <c r="D52" s="10" t="s">
        <v>897</v>
      </c>
    </row>
    <row r="53" spans="1:4" x14ac:dyDescent="0.3">
      <c r="A53" s="5" t="s">
        <v>898</v>
      </c>
      <c r="B53" s="22">
        <f>SUM(B44:B52)</f>
        <v>126482</v>
      </c>
      <c r="C53" s="5" t="s">
        <v>899</v>
      </c>
      <c r="D53" s="5" t="str">
        <f>IF(B53=B5,"PASS","FAIL — gap "&amp;(B5-B53))</f>
        <v>PASS</v>
      </c>
    </row>
  </sheetData>
  <mergeCells count="7">
    <mergeCell ref="A34:D34"/>
    <mergeCell ref="A42:D42"/>
    <mergeCell ref="A1:F1"/>
    <mergeCell ref="A3:D3"/>
    <mergeCell ref="A12:D12"/>
    <mergeCell ref="A19:D19"/>
    <mergeCell ref="A27:D2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AUTOMATION-SCOPE</vt:lpstr>
      <vt:lpstr>COVERAGE-MATRIX</vt:lpstr>
      <vt:lpstr>LISTS</vt:lpstr>
      <vt:lpstr>TEST-CASES</vt:lpstr>
      <vt:lpstr>DEFECT-REPORT</vt:lpstr>
      <vt:lpstr>SNAPSHOT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Consumer Overview Manual Test Pack</dc:title>
  <dc:subject/>
  <dc:creator/>
  <cp:keywords/>
  <dc:description/>
  <cp:lastModifiedBy/>
  <dcterms:created xsi:type="dcterms:W3CDTF">2026-09-03T12:43:33Z</dcterms:created>
  <dcterms:modified xsi:type="dcterms:W3CDTF">2026-09-05T05:10:33Z</dcterms:modified>
  <cp:category/>
</cp:coreProperties>
</file>