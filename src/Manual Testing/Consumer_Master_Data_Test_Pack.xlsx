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COVER" state="visible" r:id="rId4"/>
    <sheet sheetId="2" name="AUTOMATION-SCOPE" state="visible" r:id="rId5"/>
    <sheet sheetId="3" name="COVERAGE-MATRIX" state="visible" r:id="rId6"/>
    <sheet sheetId="4" name="LISTS" state="hidden" r:id="rId7"/>
    <sheet sheetId="5" name="DEFECTS" state="visible" r:id="rId8"/>
    <sheet sheetId="6" name="TEST-CASES" state="visible" r:id="rId9"/>
    <sheet sheetId="7" name="SNAPSHOT" state="visible" r:id="rId10"/>
  </sheets>
  <calcPr calcId="171027"/>
</workbook>
</file>

<file path=xl/sharedStrings.xml><?xml version="1.0" encoding="utf-8"?>
<sst xmlns="http://schemas.openxmlformats.org/spreadsheetml/2006/main" count="3017" uniqueCount="1322">
  <si>
    <t>Indoore MDMS — Consumer Master Data Manual Test Pack</t>
  </si>
  <si>
    <t>Screen: Master Data → Consumer Data  |  Drill-down: Consumer Dashboard + DTR Dashboard  |  URL: https://indore.bestinfra.app  |  Role: Super Admin</t>
  </si>
  <si>
    <t>Field</t>
  </si>
  <si>
    <t>Value</t>
  </si>
  <si>
    <t>Module</t>
  </si>
  <si>
    <t>Master Data / Consumer Data (one pack — not a separate Consumer Overview or DTR Overview file)</t>
  </si>
  <si>
    <t>Coverage rule</t>
  </si>
  <si>
    <t>Same depth as Consumer Overview + DTR Overview packs: list, filters, ledger, columns, then Consumer Dashboard widgets AND DTR Dashboard widgets reached from this grid.</t>
  </si>
  <si>
    <t>View rule</t>
  </si>
  <si>
    <t>Row View (eye) MUST open Consumer Dashboard for that IVRS/meter — never a different consumer.</t>
  </si>
  <si>
    <t>DTR rule</t>
  </si>
  <si>
    <t>DTR Code on the grid MUST open (or lead to) /dtr/{code} for that transformer — never Consumer Dashboard.</t>
  </si>
  <si>
    <t>Download rule</t>
  </si>
  <si>
    <t>Download / chart icons export a file and must NOT navigate away.</t>
  </si>
  <si>
    <t>Filter rule</t>
  </si>
  <si>
    <t>Apply Filters ANDs criteria. Reset Filters clears search, dropdowns, and All/Online/Offline. Empty search ≠ empty filter copy.</t>
  </si>
  <si>
    <t>Ledger rule</t>
  </si>
  <si>
    <t>Validate does not insert or update master rows. .xlsx only, max 200 MB. Merge vs Override blank-cell preview must differ.</t>
  </si>
  <si>
    <t>Total cases</t>
  </si>
  <si>
    <t>Baseline date</t>
  </si>
  <si>
    <t>09-Sep-2026 screenshots (126,743 consumers · Babulal Nandram · meter 88017671)</t>
  </si>
  <si>
    <t>Status default</t>
  </si>
  <si>
    <t>Not Executed</t>
  </si>
  <si>
    <t>Automation</t>
  </si>
  <si>
    <t>See AUTOMATION-SCOPE — API suite vs UI click. Column Auto Status on TEST-CASES.</t>
  </si>
  <si>
    <t>Defects</t>
  </si>
  <si>
    <t>Log product bugs ONLY on DEFECTS. On TEST-CASES put Defect ID only — do not write bug details in Comments.</t>
  </si>
  <si>
    <t>How to execute</t>
  </si>
  <si>
    <t>1. Login as Super Admin. Open Master Data → Consumer Data. Keep Advanced Filters ON unless the case says otherwise.</t>
  </si>
  <si>
    <t>2. For each case, click EXACTLY the target in column Click Target (search, dropdown, radio, Apply, View, chart period, event filter, DTR Code).</t>
  </si>
  <si>
    <t>3. On Consumer Dashboard, check header IVRS/meter vs the list row, then every widget named in the case (KPIs, Real-Time, Energy, Events).</t>
  </si>
  <si>
    <t>4. On DTR Dashboard, check DTR Code / capacity vs the list row, then Real-Time, Energy, Events — data must not be the previous consumer.</t>
  </si>
  <si>
    <t>5. Use browser Back to return. Filters on Consumer Data should still be applied. Do not refresh unless the case says so.</t>
  </si>
  <si>
    <t>6. Set Status via dropdown: Pass / Fail / Blocked / Pass with Note / Not Executed.</t>
  </si>
  <si>
    <t>7. If live counts differ from SNAPSHOT, still Pass if the list total matches the live footer. Fail on wrong consumer/DTR, missing click, or count mismatch vs the widget.</t>
  </si>
  <si>
    <t>8. Defects: log ONLY on DEFECTS (summary, steps, expected, actual). On TEST-CASES enter Defect ID (e.g. DEF-CMD-001). Fail without a Defect ID is incomplete.</t>
  </si>
  <si>
    <t>Areas in scope (this one workbook)</t>
  </si>
  <si>
    <t>Area</t>
  </si>
  <si>
    <t>Type</t>
  </si>
  <si>
    <t>What to cover</t>
  </si>
  <si>
    <t>Consumer Data list</t>
  </si>
  <si>
    <t>Master grid</t>
  </si>
  <si>
    <t>Search, Advanced Filters, All/Online/Offline, pagination, row View/Edit, Download</t>
  </si>
  <si>
    <t>Ledger</t>
  </si>
  <si>
    <t>Bulk Upload modal</t>
  </si>
  <si>
    <t>Template, Merge/Override, .xlsx, 200 MB, Validate (no write), close</t>
  </si>
  <si>
    <t>Manage Table Columns</t>
  </si>
  <si>
    <t>Master + Events</t>
  </si>
  <si>
    <t>Hide/Show/reorder, locked Consumer Name, Reset defaults, Cancel/X</t>
  </si>
  <si>
    <t>Consumer Dashboard</t>
  </si>
  <si>
    <t>Detail /consumers/:id</t>
  </si>
  <si>
    <t>Header, 12 KPIs, Real-Time Power, Live Load, Energy Consumption, Energy Flow, Meter Events</t>
  </si>
  <si>
    <t>DTR Dashboard</t>
  </si>
  <si>
    <t>Detail /dtr/:code</t>
  </si>
  <si>
    <t>Stats, Real-Time Power, Power Triangle, Energy Flow, Energy Consumption, Meter Events, capacity</t>
  </si>
  <si>
    <t>Parity</t>
  </si>
  <si>
    <t>Cross-screen</t>
  </si>
  <si>
    <t>Same IVRS/meter/DTR/hierarchy on list ↔ consumer page ↔ DTR page; Back keeps filters</t>
  </si>
  <si>
    <t>Consumer Master Data — Automation scope (API already in this repo vs still-manual UI)</t>
  </si>
  <si>
    <t>This framework automates HTTP APIs (Playwright). UI onclick / Ledger picker / dashboard widgets stay Gap (UI) until a UI suite is added. Partial = API proves list/filters; tester still clicks Apply/View.</t>
  </si>
  <si>
    <t>Counts from TEST-CASES column Auto Status (M)</t>
  </si>
  <si>
    <t>Metric</t>
  </si>
  <si>
    <t>Count</t>
  </si>
  <si>
    <t>Meaning</t>
  </si>
  <si>
    <t>Automated (API)</t>
  </si>
  <si>
    <t>Data already asserted in Playwright API/DB tests</t>
  </si>
  <si>
    <t>Partial</t>
  </si>
  <si>
    <t>API covers list/filters; UI click still manual</t>
  </si>
  <si>
    <t>Gap (API)</t>
  </si>
  <si>
    <t>Add a Playwright API case (priority for this repo)</t>
  </si>
  <si>
    <t>Gap (UI)</t>
  </si>
  <si>
    <t>Needs UI automation — out of current API framework</t>
  </si>
  <si>
    <t>Total classified</t>
  </si>
  <si>
    <t>Must equal 120 test cases</t>
  </si>
  <si>
    <t>Area → API map</t>
  </si>
  <si>
    <t>Widget</t>
  </si>
  <si>
    <t>UI click</t>
  </si>
  <si>
    <t>Data API (counts)</t>
  </si>
  <si>
    <t>Drilldown API (related records)</t>
  </si>
  <si>
    <t>Spec</t>
  </si>
  <si>
    <t>Auto status</t>
  </si>
  <si>
    <t>Gap / next action</t>
  </si>
  <si>
    <t>Consumer Data grid</t>
  </si>
  <si>
    <t>Search / page / filter Apply</t>
  </si>
  <si>
    <t>GET /indore/master-data/consumer-master-data</t>
  </si>
  <si>
    <t>GET /indore/master-data/consumer-master-data filtered query</t>
  </si>
  <si>
    <t>src/modules/MASTER-DATA/tests/consumer-master.spec.ts  |  npm run test:master-data</t>
  </si>
  <si>
    <t>API proves page/q/filters; UI Apply/Reset still manual</t>
  </si>
  <si>
    <t>Advanced Filters</t>
  </si>
  <si>
    <t>Apply / Reset / radios</t>
  </si>
  <si>
    <t>GET /indore/master-data/consumer-master-data + lookup APIs</t>
  </si>
  <si>
    <t>Lookups and filtered list are API; cascade UI is Gap (UI)</t>
  </si>
  <si>
    <t>Ledger / Bulk Upload</t>
  </si>
  <si>
    <t>Validate File</t>
  </si>
  <si>
    <t>POST /indore/master-data/bulk-upload-consumers (and Ledger validate)</t>
  </si>
  <si>
    <t>Validate preview (no write)</t>
  </si>
  <si>
    <t>src/modules/MASTER-DATA/tests/bulk-upload-consumers.spec.ts</t>
  </si>
  <si>
    <t>File picker, Merge/Override copy, 200 MB client checks are UI</t>
  </si>
  <si>
    <t>Header Download</t>
  </si>
  <si>
    <t>Export icon</t>
  </si>
  <si>
    <t>Consumer master export job</t>
  </si>
  <si>
    <t>Filtered xlsx</t>
  </si>
  <si>
    <t>src/modules/MASTER-DATA/tests/master-data.contract.spec.ts</t>
  </si>
  <si>
    <t>Add export-job assertion; UI click remains Gap (UI)</t>
  </si>
  <si>
    <t>Hide / Show / Apply</t>
  </si>
  <si>
    <t>—</t>
  </si>
  <si>
    <t>Local table prefs — UI automation</t>
  </si>
  <si>
    <t>View (eye) → /consumers/:id</t>
  </si>
  <si>
    <t>Consumer detail APIs (KPIs, RT power, energy, events)</t>
  </si>
  <si>
    <t>Same consumer id</t>
  </si>
  <si>
    <t>CONTRIBUTING: consumers module if present</t>
  </si>
  <si>
    <t>No click-through UI suite yet; detail APIs may exist under CONSUMERS</t>
  </si>
  <si>
    <t>DTR Code → /dtr/:code</t>
  </si>
  <si>
    <t>DTR detail APIs (stats, RT power, energy, events)</t>
  </si>
  <si>
    <t>Same DTR code</t>
  </si>
  <si>
    <t>DASHBOARD dtr* specs cover fleet Overview, not this individual page</t>
  </si>
  <si>
    <t>Individual DTR page is Gap (UI); fleet Overview is a different pack (IND-DTO)</t>
  </si>
  <si>
    <t>Meter Events (consumer + DTR)</t>
  </si>
  <si>
    <t>Search / status / date / download</t>
  </si>
  <si>
    <t>Events APIs</t>
  </si>
  <si>
    <t>Filtered event list</t>
  </si>
  <si>
    <t>Duration math and column modal are UI</t>
  </si>
  <si>
    <t>Energy Consumption / Energy Flow</t>
  </si>
  <si>
    <t>Period dropdown + download</t>
  </si>
  <si>
    <t>Energy graph APIs</t>
  </si>
  <si>
    <t>Period series</t>
  </si>
  <si>
    <t>Hourly→Yearly switch is UI</t>
  </si>
  <si>
    <t>Already automated — run these</t>
  </si>
  <si>
    <t>Coverage</t>
  </si>
  <si>
    <t>Endpoint</t>
  </si>
  <si>
    <t>Spec file</t>
  </si>
  <si>
    <t>Command</t>
  </si>
  <si>
    <t>Status</t>
  </si>
  <si>
    <t>Consumer Master Data paged list</t>
  </si>
  <si>
    <t>src/modules/MASTER-DATA/tests/consumer-master.spec.ts</t>
  </si>
  <si>
    <t>npm run test:master-data</t>
  </si>
  <si>
    <t>Consumer Master contract snapshot</t>
  </si>
  <si>
    <t>Bulk upload consumers</t>
  </si>
  <si>
    <t>Gaps to automate next (priority)</t>
  </si>
  <si>
    <t>Priority</t>
  </si>
  <si>
    <t>Layer</t>
  </si>
  <si>
    <t>What to add</t>
  </si>
  <si>
    <t>Where</t>
  </si>
  <si>
    <t>Manual cases</t>
  </si>
  <si>
    <t>P1</t>
  </si>
  <si>
    <t>UI</t>
  </si>
  <si>
    <t>View (eye) opens Consumer Dashboard with matching IVRS/meter</t>
  </si>
  <si>
    <t>Playwright UI on /master-data/consumer-master-data</t>
  </si>
  <si>
    <t>IND-CMD-0038, 0066, 0120</t>
  </si>
  <si>
    <t>DTR Code opens individual DTR Dashboard</t>
  </si>
  <si>
    <t>Playwright UI /dtr/:code from master grid</t>
  </si>
  <si>
    <t>IND-CMD-0104, 0108–0112</t>
  </si>
  <si>
    <t>API</t>
  </si>
  <si>
    <t>Filtered consumer-master export job row count = pagination.total</t>
  </si>
  <si>
    <t>MASTER-DATA export API spec</t>
  </si>
  <si>
    <t>IND-CMD-0063, 0065</t>
  </si>
  <si>
    <t>P2</t>
  </si>
  <si>
    <t>Ledger client checks: type, 200 MB, Merge vs Override blanks</t>
  </si>
  <si>
    <t>Playwright UI Ledger modal</t>
  </si>
  <si>
    <t>IND-CMD-0050–0062</t>
  </si>
  <si>
    <t>Meter Events duration = restored − occurred; Pending Restored At = —</t>
  </si>
  <si>
    <t>Consumer + DTR events tables</t>
  </si>
  <si>
    <t>IND-CMD-0091–0096, 0112</t>
  </si>
  <si>
    <t>Coverage matrix — Y = must execute  |  EXP = export only (must not navigate)  |  N/A = not on this control  |  Types: Positive / Negative / Edge / UI</t>
  </si>
  <si>
    <t>Execute every Y cell. Consumer Dashboard and DTR Dashboard are in THIS pack (not a second Excel). Empty search and empty filter use different copy.</t>
  </si>
  <si>
    <t>Area / widget</t>
  </si>
  <si>
    <t>Page load / layout</t>
  </si>
  <si>
    <t>Search / filter</t>
  </si>
  <si>
    <t>Apply / Reset</t>
  </si>
  <si>
    <t>Pagination / columns</t>
  </si>
  <si>
    <t>View / navigation</t>
  </si>
  <si>
    <t>Chart / period</t>
  </si>
  <si>
    <t>Empty / invalid</t>
  </si>
  <si>
    <t>Download / export</t>
  </si>
  <si>
    <t>Zero / missing data</t>
  </si>
  <si>
    <t>Y count</t>
  </si>
  <si>
    <t>Notes</t>
  </si>
  <si>
    <t>Y</t>
  </si>
  <si>
    <t>N/A</t>
  </si>
  <si>
    <t>EXP</t>
  </si>
  <si>
    <t>126,743 baseline</t>
  </si>
  <si>
    <t>Hierarchy cascade + radios</t>
  </si>
  <si>
    <t>Validate ≠ write</t>
  </si>
  <si>
    <t>Manage Columns (grid)</t>
  </si>
  <si>
    <t>Consumer Name locked</t>
  </si>
  <si>
    <t>Consumer Dashboard header</t>
  </si>
  <si>
    <t>IVRS + Connected</t>
  </si>
  <si>
    <t>Consumer KPI cards (12)</t>
  </si>
  <si>
    <t>No previous-month data</t>
  </si>
  <si>
    <t>Real-Time Power + Live Load</t>
  </si>
  <si>
    <t>Y/B = -- ; timestamp parity</t>
  </si>
  <si>
    <t>Energy Consumption</t>
  </si>
  <si>
    <t>Hourly→Yearly</t>
  </si>
  <si>
    <t>Energy Flow</t>
  </si>
  <si>
    <t>Import/export series</t>
  </si>
  <si>
    <t>Meter Events (consumer)</t>
  </si>
  <si>
    <t>Duration math</t>
  </si>
  <si>
    <t>Same widget family as consumer</t>
  </si>
  <si>
    <t>Parity list ↔ dashboards</t>
  </si>
  <si>
    <t>Meter / DTR / hierarchy</t>
  </si>
  <si>
    <t>Must-run destinations (from 09-Sep-2026 screenshots)</t>
  </si>
  <si>
    <t>#</t>
  </si>
  <si>
    <t>Screen</t>
  </si>
  <si>
    <t>Target</t>
  </si>
  <si>
    <t>Baseline (09-Sep-2026)</t>
  </si>
  <si>
    <t>1</t>
  </si>
  <si>
    <t>Consumer Data</t>
  </si>
  <si>
    <t>Unfiltered total</t>
  </si>
  <si>
    <t>2</t>
  </si>
  <si>
    <t>Page size 10 → last page</t>
  </si>
  <si>
    <t>3</t>
  </si>
  <si>
    <t>Search Babulal Nandram / IVRS N3968028469</t>
  </si>
  <si>
    <t>1+ match</t>
  </si>
  <si>
    <t>4</t>
  </si>
  <si>
    <t>Online / Offline radios</t>
  </si>
  <si>
    <t>subset of 126743</t>
  </si>
  <si>
    <t>5</t>
  </si>
  <si>
    <t>Validate File without write</t>
  </si>
  <si>
    <t>.xlsx ≤ 200 MB</t>
  </si>
  <si>
    <t>6</t>
  </si>
  <si>
    <t>Header Connected + 12 KPIs</t>
  </si>
  <si>
    <t>0.2 kVA / PF -0.97 / ₹0</t>
  </si>
  <si>
    <t>7</t>
  </si>
  <si>
    <t>Real-Time Power meter</t>
  </si>
  <si>
    <t>88017671</t>
  </si>
  <si>
    <t>8</t>
  </si>
  <si>
    <t>Live Load total</t>
  </si>
  <si>
    <t>0.08 = 0.04+0.04+0</t>
  </si>
  <si>
    <t>9</t>
  </si>
  <si>
    <t>Energy Consumption Hourly</t>
  </si>
  <si>
    <t>Last 12 Hours 12:00–23:00</t>
  </si>
  <si>
    <t>10</t>
  </si>
  <si>
    <t>Energy Flow Hourly</t>
  </si>
  <si>
    <t>Last 6 Hours 1 Dec 2025</t>
  </si>
  <si>
    <t>11</t>
  </si>
  <si>
    <t>Meter Events</t>
  </si>
  <si>
    <t>Unfiltered rows</t>
  </si>
  <si>
    <t>5 of 5</t>
  </si>
  <si>
    <t>12</t>
  </si>
  <si>
    <t>Pending</t>
  </si>
  <si>
    <t>13</t>
  </si>
  <si>
    <t>Restored</t>
  </si>
  <si>
    <t>14</t>
  </si>
  <si>
    <t>DTR from grid (e.g. MM521)</t>
  </si>
  <si>
    <t>/dtr/{code}</t>
  </si>
  <si>
    <t>15</t>
  </si>
  <si>
    <t>Same meter on list, consumer page, DTR events</t>
  </si>
  <si>
    <t>Type mix (from TEST-CASES column K)</t>
  </si>
  <si>
    <t>Count formula</t>
  </si>
  <si>
    <t>Positive</t>
  </si>
  <si>
    <t>Happy path</t>
  </si>
  <si>
    <t>Negative</t>
  </si>
  <si>
    <t>Invalid / empty / reject</t>
  </si>
  <si>
    <t>Edge</t>
  </si>
  <si>
    <t>Boundary / missing history / 1-phase</t>
  </si>
  <si>
    <t>Layout / cursor / default selection</t>
  </si>
  <si>
    <t>Total</t>
  </si>
  <si>
    <t>Must equal 120</t>
  </si>
  <si>
    <t>Auto Status</t>
  </si>
  <si>
    <t>Automation Scope</t>
  </si>
  <si>
    <t>Defect Status</t>
  </si>
  <si>
    <t>Defect Severity</t>
  </si>
  <si>
    <t>Defect Priority</t>
  </si>
  <si>
    <t>Critical</t>
  </si>
  <si>
    <t>API automated</t>
  </si>
  <si>
    <t>New</t>
  </si>
  <si>
    <t>P0</t>
  </si>
  <si>
    <t>Pass</t>
  </si>
  <si>
    <t>High</t>
  </si>
  <si>
    <t>API + UI click</t>
  </si>
  <si>
    <t>Open</t>
  </si>
  <si>
    <t>Fail</t>
  </si>
  <si>
    <t>Medium</t>
  </si>
  <si>
    <t>API gap</t>
  </si>
  <si>
    <t>In Progress</t>
  </si>
  <si>
    <t>Blocked</t>
  </si>
  <si>
    <t>Low</t>
  </si>
  <si>
    <t>UI only</t>
  </si>
  <si>
    <t>Fixed</t>
  </si>
  <si>
    <t>P3</t>
  </si>
  <si>
    <t>Pass with Note</t>
  </si>
  <si>
    <t>Verified</t>
  </si>
  <si>
    <t>Closed</t>
  </si>
  <si>
    <t>Rejected</t>
  </si>
  <si>
    <t>Deferred</t>
  </si>
  <si>
    <t>Indoore MDMS — Consumer Master Data — Defect log</t>
  </si>
  <si>
    <t>SOURCE OF TRUTH: log every product defect HERE only. On TEST-CASES enter Defect ID (column R). Do not write bug details in TEST-CASES Comments.</t>
  </si>
  <si>
    <t>Open / New</t>
  </si>
  <si>
    <t>Fixed / Verified</t>
  </si>
  <si>
    <t>Total logged</t>
  </si>
  <si>
    <t>How: pick next blank DEF-CMD-xxx row → fill Summary / Steps / Expected / Actual / Severity / Status. Then put that ID on every failed TEST-CASES row. Related cases share one Defect ID.</t>
  </si>
  <si>
    <t>Defect ID</t>
  </si>
  <si>
    <t>Linked Test Case ID</t>
  </si>
  <si>
    <t>Widget / Feature</t>
  </si>
  <si>
    <t>Summary</t>
  </si>
  <si>
    <t>Steps to Reproduce</t>
  </si>
  <si>
    <t>Expected Result</t>
  </si>
  <si>
    <t>Actual Result</t>
  </si>
  <si>
    <t>Severity</t>
  </si>
  <si>
    <t>Environment</t>
  </si>
  <si>
    <t>Found By</t>
  </si>
  <si>
    <t>Found Date</t>
  </si>
  <si>
    <t>Evidence / Screenshot</t>
  </si>
  <si>
    <t>Comments</t>
  </si>
  <si>
    <t>DEF-CMD-001</t>
  </si>
  <si>
    <t>IND-CMD-0078, IND-CMD-0080, IND-CMD-0081, IND-CMD-0087</t>
  </si>
  <si>
    <t>Real-Time Power Metrics / Live Load Profile / Energy Flow</t>
  </si>
  <si>
    <t>Last-communication timestamps disagree by a calendar day between Real-Time Power Metrics and Live Load / Energy Flow</t>
  </si>
  <si>
    <t xml:space="preserve">1. Login as Super Admin on https://indore.bestinfra.app
2. Open Master Data → Consumer Data
3. Open Consumer Dashboard for Babulal Nandram (IVRS N3968028469)
4. Read Real-Time Power Metrics header timestamp
5. Read Live Load Profile Last Communication
6. Read Energy Flow subtitle date</t>
  </si>
  <si>
    <t>If all three stamps are 'last packet / last communication', they match to the same minute (or are clearly labelled as different metrics). Energy Flow 'Last 6 Hours' date aligns with the live last-communication day.</t>
  </si>
  <si>
    <t>09-Sep-2026: Real-Time Power Metrics shows 30th Nov 2025, 11:45 PM (meter 88017671). Live Load Profile Last Communication is 1st Dec 2025, 11:46 PM. Energy Flow subtitle is Last 6 Hours · 18:00–23:00, 1 Dec 2025. Unexplained 1-day (and ~24h) split between the header and the lower widgets.</t>
  </si>
  <si>
    <t>Live https://indore.bestinfra.app — Super Admin</t>
  </si>
  <si>
    <t>QA (screenshot review)</t>
  </si>
  <si>
    <t>Consumer Dashboard screenshots 09-Sep-2026 (Real-Time Power + Live Load + Energy Flow)</t>
  </si>
  <si>
    <t/>
  </si>
  <si>
    <t>DEF-CMD-002</t>
  </si>
  <si>
    <t>IND-CMD-0091, IND-CMD-0096, IND-CMD-0077</t>
  </si>
  <si>
    <t>Restored Power failure row shows Duration 6s and Status Restored but Restored At is blank</t>
  </si>
  <si>
    <t xml:space="preserve">1. Open Consumer Dashboard for Babulal Nandram
2. Scroll to Meter Events
3. Inspect row 1: Event Code 7048 Power failure, Occurred 1st Nov 2025 08:20 PM, Status Restored</t>
  </si>
  <si>
    <t>Restored events always show Restored At. Duration = Restored At − Occurred On. Pending events use — in Restored At and 0s duration.</t>
  </si>
  <si>
    <t>09-Sep-2026: Row 1 Status=Restored, Duration=6s, Restored At blank (not —). Other Restored rows (16 Jul, 9 Jul) do show Restored At. Inconsistent Restored At rendering on the same table.</t>
  </si>
  <si>
    <t>Meter Events screenshot 09-Sep-2026 (5 rows, meter 88017671)</t>
  </si>
  <si>
    <t>DEF-CMD-003</t>
  </si>
  <si>
    <t>DEF-CMD-004</t>
  </si>
  <si>
    <t>DEF-CMD-005</t>
  </si>
  <si>
    <t>DEF-CMD-006</t>
  </si>
  <si>
    <t>DEF-CMD-007</t>
  </si>
  <si>
    <t>DEF-CMD-008</t>
  </si>
  <si>
    <t>DEF-CMD-009</t>
  </si>
  <si>
    <t>DEF-CMD-010</t>
  </si>
  <si>
    <t>DEF-CMD-011</t>
  </si>
  <si>
    <t>DEF-CMD-012</t>
  </si>
  <si>
    <t>DEF-CMD-013</t>
  </si>
  <si>
    <t>DEF-CMD-014</t>
  </si>
  <si>
    <t>DEF-CMD-015</t>
  </si>
  <si>
    <t>DEF-CMD-016</t>
  </si>
  <si>
    <t>DEF-CMD-017</t>
  </si>
  <si>
    <t>DEF-CMD-018</t>
  </si>
  <si>
    <t>DEF-CMD-019</t>
  </si>
  <si>
    <t>DEF-CMD-020</t>
  </si>
  <si>
    <t>DEF-CMD-021</t>
  </si>
  <si>
    <t>DEF-CMD-022</t>
  </si>
  <si>
    <t>DEF-CMD-023</t>
  </si>
  <si>
    <t>DEF-CMD-024</t>
  </si>
  <si>
    <t>DEF-CMD-025</t>
  </si>
  <si>
    <t>DEF-CMD-026</t>
  </si>
  <si>
    <t>DEF-CMD-027</t>
  </si>
  <si>
    <t>DEF-CMD-028</t>
  </si>
  <si>
    <t>DEF-CMD-029</t>
  </si>
  <si>
    <t>DEF-CMD-030</t>
  </si>
  <si>
    <t>Indoore MDMS — Consumer Master Data — Manual Test Cases (includes Consumer Dashboard + DTR Dashboard)</t>
  </si>
  <si>
    <t>One pack (same format as Consumer Overview / DTR Overview)  |  Defects: log on DEFECTS only, put Defect ID here</t>
  </si>
  <si>
    <t>Precondition: Super Admin on https://indore.bestinfra.app — Master Data → Consumer Data — View opens Consumer Dashboard — DTR Code opens DTR Dashboard. Failures: log on DEFECTS, enter Defect ID here only.</t>
  </si>
  <si>
    <t>Test Case ID</t>
  </si>
  <si>
    <t>Feature</t>
  </si>
  <si>
    <t>Click Target</t>
  </si>
  <si>
    <t>Test Scenario</t>
  </si>
  <si>
    <t>Test Steps</t>
  </si>
  <si>
    <t>Test Data</t>
  </si>
  <si>
    <t>API Endpoint</t>
  </si>
  <si>
    <t>Spec / Command</t>
  </si>
  <si>
    <t>Tester</t>
  </si>
  <si>
    <t>Execution Date</t>
  </si>
  <si>
    <t>1. PAGE LOAD &amp; LAYOUT — CONSUMER MASTER DATA</t>
  </si>
  <si>
    <t>IND-CMD-0001</t>
  </si>
  <si>
    <t>Page Load</t>
  </si>
  <si>
    <t>Page</t>
  </si>
  <si>
    <t>Consumer Data page loads with title and breadcrumb</t>
  </si>
  <si>
    <t xml:space="preserve">1. Login as Super Admin on https://indore.bestinfra.app
2. Open Master Data → Consumer Data
3. Confirm title is Consumer Data and Advanced Filters is ON unless the case says otherwise
4. Observe header, breadcrumb, and primary actions</t>
  </si>
  <si>
    <t>URL: Master Data / Consumer Data</t>
  </si>
  <si>
    <t>Title 'Consumer Data' is visible. Breadcrumb shows Master Data / Consumer Data. No blank page, stuck spinner, or blocking console error.</t>
  </si>
  <si>
    <t>Page title / breadcrumb — Playwright UI</t>
  </si>
  <si>
    <t>IND-CMD-0002</t>
  </si>
  <si>
    <t>Layout</t>
  </si>
  <si>
    <t>Header actions</t>
  </si>
  <si>
    <t>Bulk Upload and Download buttons render in the header</t>
  </si>
  <si>
    <t xml:space="preserve">1. Login as Super Admin on https://indore.bestinfra.app
2. Open Master Data → Consumer Data
3. Confirm title is Consumer Data and Advanced Filters is ON unless the case says otherwise
4. Look at top-right actions</t>
  </si>
  <si>
    <t>Buttons: Bulk Upload (green, up arrow), Download (green, down arrow)</t>
  </si>
  <si>
    <t>Both buttons are visible, labelled, and clickable for Super Admin. Bulk Upload opens Ledger. Download starts an export (does not navigate away).</t>
  </si>
  <si>
    <t>Bulk Upload + Download header buttons</t>
  </si>
  <si>
    <t>IND-CMD-0003</t>
  </si>
  <si>
    <t>Advanced Filters panel</t>
  </si>
  <si>
    <t>Advanced Filters panel is ON and shows all filter controls</t>
  </si>
  <si>
    <t xml:space="preserve">1. Login as Super Admin on https://indore.bestinfra.app
2. Open Master Data → Consumer Data
3. Confirm title is Consumer Data and Advanced Filters is ON unless the case says otherwise
4. Observe the Advanced Filters box</t>
  </si>
  <si>
    <t>Toggle ON. Controls: Search Consumers, Hierarchy Type, two Select Hierarchy, Meter Type, All Meter Phases, Connection Status, All Categories, Device Manufacturer, Payment Contract, All/Online/Offline, Reset Filters, Apply Filters</t>
  </si>
  <si>
    <t>All listed controls render. Toggle is green/ON. Reset Filters is outline. Apply Filters is solid green. No overlapping or clipped labels.</t>
  </si>
  <si>
    <t>Advanced Filters panel layout</t>
  </si>
  <si>
    <t>IND-CMD-0004</t>
  </si>
  <si>
    <t>Consumer grid</t>
  </si>
  <si>
    <t>Grid loads first page with pagination for the full master set</t>
  </si>
  <si>
    <t xml:space="preserve">1. Login as Super Admin on https://indore.bestinfra.app
2. Open Master Data → Consumer Data
3. Confirm title is Consumer Data and Advanced Filters is ON unless the case says otherwise
4. Wait for the table to finish loading
5. Read footer pagination</t>
  </si>
  <si>
    <t>Screenshot baseline 09-Sep-2026 (use live values if different): Showing 1-10 of 126743 · 10 / page · last page 12675</t>
  </si>
  <si>
    <t>Ten data rows render. Footer matches live total. Page 1 is selected. Horizontal scrollbar is present for extra columns. No duplicate S.No and no empty skeleton stuck forever.</t>
  </si>
  <si>
    <t>GET /indore/master-data/consumer-master-data?page=1&amp;limit=10  |  pagination.total vs grid</t>
  </si>
  <si>
    <t>IND-CMD-0005</t>
  </si>
  <si>
    <t>Cursor</t>
  </si>
  <si>
    <t>Interactive controls</t>
  </si>
  <si>
    <t>Clickable controls show pointer cursor</t>
  </si>
  <si>
    <t xml:space="preserve">1. Login as Super Admin on https://indore.bestinfra.app
2. Open Master Data → Consumer Data
3. Confirm title is Consumer Data and Advanced Filters is ON unless the case says otherwise
4. Hover Bulk Upload, Download, search, dropdowns, radios, Apply/Reset, row View/Edit, pagination, column-manage icon</t>
  </si>
  <si>
    <t>Hover each interactive control</t>
  </si>
  <si>
    <t>Pointer (hand) cursor on every clickable control. Non-clickable padding/page background stays default cursor.</t>
  </si>
  <si>
    <t>Pointer cursor</t>
  </si>
  <si>
    <t>2. SEARCH CONSUMERS</t>
  </si>
  <si>
    <t>IND-CMD-0006</t>
  </si>
  <si>
    <t>Search</t>
  </si>
  <si>
    <t>Search Consumers</t>
  </si>
  <si>
    <t>Search by consumer name returns matching rows</t>
  </si>
  <si>
    <t xml:space="preserve">1. Login as Super Admin on https://indore.bestinfra.app
2. Open Master Data → Consumer Data
3. Confirm title is Consumer Data and Advanced Filters is ON unless the case says otherwise
4. Type Babulal Nandram in Search Consumers
5. Wait for debounce / results</t>
  </si>
  <si>
    <t>Name: Babulal Nandram</t>
  </si>
  <si>
    <t>Grid shows matching consumer(s). Pagination total drops to the match count. Row name matches. No unfiltered dump of all consumers.</t>
  </si>
  <si>
    <t>GET /indore/master-data/consumer-master-data?q=Babulal Nandram</t>
  </si>
  <si>
    <t>IND-CMD-0007</t>
  </si>
  <si>
    <t>Search by IVRS number</t>
  </si>
  <si>
    <t xml:space="preserve">1. Login as Super Admin on https://indore.bestinfra.app
2. Open Master Data → Consumer Data
3. Confirm title is Consumer Data and Advanced Filters is ON unless the case says otherwise
4. Clear search
5. Type N3968028469</t>
  </si>
  <si>
    <t>IVRS: N3968028469</t>
  </si>
  <si>
    <t>Matching consumer (Babulal Nandram or live equivalent) is listed. IVRS on the dashboard header after View matches the search value.</t>
  </si>
  <si>
    <t>GET /indore/master-data/consumer-master-data?q=N3968028469</t>
  </si>
  <si>
    <t>IND-CMD-0008</t>
  </si>
  <si>
    <t>Search by consumer account / CID</t>
  </si>
  <si>
    <t xml:space="preserve">1. Login as Super Admin on https://indore.bestinfra.app
2. Open Master Data → Consumer Data
3. Confirm title is Consumer Data and Advanced Filters is ON unless the case says otherwise
4. Search MML0000205</t>
  </si>
  <si>
    <t>CID: MML0000205</t>
  </si>
  <si>
    <t>Row with that consumer id is returned. Other Cids are not mixed in.</t>
  </si>
  <si>
    <t>GET /indore/master-data/consumer-master-data?q=MML0000205</t>
  </si>
  <si>
    <t>IND-CMD-0009</t>
  </si>
  <si>
    <t>Search by meter serial number</t>
  </si>
  <si>
    <t xml:space="preserve">1. Login as Super Admin on https://indore.bestinfra.app
2. Open Master Data → Consumer Data
3. Confirm title is Consumer Data and Advanced Filters is ON unless the case says otherwise
4. Search 88017671</t>
  </si>
  <si>
    <t>Meter Sl No.: 88017671</t>
  </si>
  <si>
    <t>Consumers bound to that meter are listed. Opening the row shows the same meter on Real-Time Power Metrics.</t>
  </si>
  <si>
    <t>GET /indore/master-data/consumer-master-data?q=88017671</t>
  </si>
  <si>
    <t>IND-CMD-0010</t>
  </si>
  <si>
    <t>Unknown keyword shows search empty state</t>
  </si>
  <si>
    <t xml:space="preserve">1. Login as Super Admin on https://indore.bestinfra.app
2. Open Master Data → Consumer Data
3. Confirm title is Consumer Data and Advanced Filters is ON unless the case says otherwise
4. Search ZZZNOMATCH999</t>
  </si>
  <si>
    <t>Keyword that cannot match</t>
  </si>
  <si>
    <t>Empty state title 'No results found'. Description tells the user to adjust search (consumer number, meter number, or name). Clear Search action is available. Pagination is not a fake full list.</t>
  </si>
  <si>
    <t>GET /indore/master-data/consumer-master-data?q=ZZZNOMATCH999  (empty page)</t>
  </si>
  <si>
    <t>IND-CMD-0011</t>
  </si>
  <si>
    <t>Special characters do not crash search</t>
  </si>
  <si>
    <t xml:space="preserve">1. Login as Super Admin on https://indore.bestinfra.app
2. Open Master Data → Consumer Data
3. Confirm title is Consumer Data and Advanced Filters is ON unless the case says otherwise
4. Search &lt;script&gt;alert(1)&lt;/script&gt; then ' OR 1=1 --</t>
  </si>
  <si>
    <t>XSS / SQL-like strings</t>
  </si>
  <si>
    <t>App does not execute script. No 500/white screen. Either 0 results empty state or escaped literal match. Toast/error is user-safe.</t>
  </si>
  <si>
    <t>XSS / injection in search box</t>
  </si>
  <si>
    <t>IND-CMD-0012</t>
  </si>
  <si>
    <t>Partial name and case-insensitive search</t>
  </si>
  <si>
    <t xml:space="preserve">1. Login as Super Admin on https://indore.bestinfra.app
2. Open Master Data → Consumer Data
3. Confirm title is Consumer Data and Advanced Filters is ON unless the case says otherwise
4. Search babulal (lowercase, partial)</t>
  </si>
  <si>
    <t>Partial: babulal</t>
  </si>
  <si>
    <t>Babulal Nandram (and other Babulal* names if any) appear. Search is not case-sensitive.</t>
  </si>
  <si>
    <t>GET /indore/master-data/consumer-master-data?q=babulal</t>
  </si>
  <si>
    <t>IND-CMD-0013</t>
  </si>
  <si>
    <t>Names with W/o, titles, and punctuation still match</t>
  </si>
  <si>
    <t xml:space="preserve">1. Login as Super Admin on https://indore.bestinfra.app
2. Open Master Data → Consumer Data
3. Confirm title is Consumer Data and Advanced Filters is ON unless the case says otherwise
4. Search Aabeda Bee
5. Then search W/o Nasir</t>
  </si>
  <si>
    <t>Grid samples: Aabeda Bee W/o Nasir Ali, Sh.girishchandra Madholal</t>
  </si>
  <si>
    <t>Both searches return the related rows. Slash and period in the name do not break the query.</t>
  </si>
  <si>
    <t>GET /indore/master-data/consumer-master-data?q=Aabeda Bee</t>
  </si>
  <si>
    <t>IND-CMD-0014</t>
  </si>
  <si>
    <t>Leading/trailing spaces are trimmed</t>
  </si>
  <si>
    <t xml:space="preserve">1. Login as Super Admin on https://indore.bestinfra.app
2. Open Master Data → Consumer Data
3. Confirm title is Consumer Data and Advanced Filters is ON unless the case says otherwise
4. Search '  Babulal Nandram  ' (spaces around)</t>
  </si>
  <si>
    <t>Padded name</t>
  </si>
  <si>
    <t>Same results as trimmed search. Spaces do not force empty state.</t>
  </si>
  <si>
    <t>Trim spaces in search input</t>
  </si>
  <si>
    <t>3. ADVANCED FILTERS — HIERARCHY &amp; DROPDOWNS</t>
  </si>
  <si>
    <t>IND-CMD-0015</t>
  </si>
  <si>
    <t>Hierarchy</t>
  </si>
  <si>
    <t>Hierarchy Type</t>
  </si>
  <si>
    <t>Selecting Hierarchy Type enables the next hierarchy dropdown</t>
  </si>
  <si>
    <t xml:space="preserve">1. Login as Super Admin on https://indore.bestinfra.app
2. Open Master Data → Consumer Data
3. Confirm title is Consumer Data and Advanced Filters is ON unless the case says otherwise
4. Open Hierarchy Type
5. Pick a type
6. Open first Select Hierarchy</t>
  </si>
  <si>
    <t>Cascade: Type → Level 1 → Level 2</t>
  </si>
  <si>
    <t>Level 1 options load for the chosen type. Level 2 stays empty or disabled until Level 1 is chosen. No stale options from a previous type.</t>
  </si>
  <si>
    <t>Hierarchy Type cascade</t>
  </si>
  <si>
    <t>IND-CMD-0016</t>
  </si>
  <si>
    <t>Select Hierarchy (Level 1 + 2)</t>
  </si>
  <si>
    <t>Apply a Circle → Zone path and confirm grid rows match</t>
  </si>
  <si>
    <t xml:space="preserve">1. Login as Super Admin on https://indore.bestinfra.app
2. Open Master Data → Consumer Data
3. Confirm title is Consumer Data and Advanced Filters is ON unless the case says otherwise
4. Set hierarchy so Circle = Indore City Circle and a Zone (e.g. South)
5. Click Apply Filters
6. Scan Circle and Zone columns</t>
  </si>
  <si>
    <t>Screenshot baseline 09-Sep-2026 (use live values if different): visible Circle column = Indore City Circle; Zones include North/South/West/Central/East</t>
  </si>
  <si>
    <t>After Apply, every visible row belongs to the selected hierarchy. Pagination total is the filtered count, not 126743 unless that is the live filtered total.</t>
  </si>
  <si>
    <t>GET /indore/master-data/consumer-master-data + hierarchyLevelId / organisationLookupId / networkLookupId</t>
  </si>
  <si>
    <t>IND-CMD-0017</t>
  </si>
  <si>
    <t>Select Hierarchy (Level 2)</t>
  </si>
  <si>
    <t>Changing Level 1 clears stale Level 2</t>
  </si>
  <si>
    <t xml:space="preserve">1. Login as Super Admin on https://indore.bestinfra.app
2. Open Master Data → Consumer Data
3. Confirm title is Consumer Data and Advanced Filters is ON unless the case says otherwise
4. Select Type + Level 1 + Level 2
5. Change Level 1 to a different node</t>
  </si>
  <si>
    <t>Dependent dropdown</t>
  </si>
  <si>
    <t>Level 2 value is cleared. New Level 2 options belong to the new parent. Applying without re-picking Level 2 does not send the old child id.</t>
  </si>
  <si>
    <t>Dependent hierarchy clear</t>
  </si>
  <si>
    <t>IND-CMD-0018</t>
  </si>
  <si>
    <t>Meter Type</t>
  </si>
  <si>
    <t>Meter Type dropdown</t>
  </si>
  <si>
    <t>Filter by Meter Type Live / Test / All</t>
  </si>
  <si>
    <t xml:space="preserve">1. Login as Super Admin on https://indore.bestinfra.app
2. Open Master Data → Consumer Data
3. Confirm title is Consumer Data and Advanced Filters is ON unless the case says otherwise
4. Select Live, Apply
5. Reset, select Test, Apply
6. Reset to All, Apply</t>
  </si>
  <si>
    <t>Meter Type: All | Live | Test</t>
  </si>
  <si>
    <t>Each Apply refreshes the grid. All restores the unscoped meter-type set. No mix of Live rows when Test is applied.</t>
  </si>
  <si>
    <t>GET /indore/master-data/consumer-master-data?meterType=live|test|all</t>
  </si>
  <si>
    <t>IND-CMD-0019</t>
  </si>
  <si>
    <t>Meter Phase</t>
  </si>
  <si>
    <t>All Meter Phases</t>
  </si>
  <si>
    <t>Filter by a single meter phase</t>
  </si>
  <si>
    <t xml:space="preserve">1. Login as Super Admin on https://indore.bestinfra.app
2. Open Master Data → Consumer Data
3. Confirm title is Consumer Data and Advanced Filters is ON unless the case says otherwise
4. Open All Meter Phases
5. Pick 1 PH (or a live phase)
6. Apply Filters
7. Check Phase column</t>
  </si>
  <si>
    <t>Phase column on the grid</t>
  </si>
  <si>
    <t>Visible rows match the selected phase. Pagination total equals the phase subset.</t>
  </si>
  <si>
    <t>GET /indore/master-data/consumer-master-data meter phase filter</t>
  </si>
  <si>
    <t>IND-CMD-0020</t>
  </si>
  <si>
    <t>Connection Status</t>
  </si>
  <si>
    <t>Filter by Connection Status</t>
  </si>
  <si>
    <t xml:space="preserve">1. Login as Super Admin on https://indore.bestinfra.app
2. Open Master Data → Consumer Data
3. Confirm title is Consumer Data and Advanced Filters is ON unless the case says otherwise
4. Open Connection Status, pick Connected (or live value)
5. Apply</t>
  </si>
  <si>
    <t>Connection Status lookup</t>
  </si>
  <si>
    <t>Grid only shows that status. Opening a row shows the matching header badge (e.g. Connected).</t>
  </si>
  <si>
    <t>GET /indore/master-data/consumer-master-data?connectionStatusTblRefId=</t>
  </si>
  <si>
    <t>IND-CMD-0021</t>
  </si>
  <si>
    <t>Category</t>
  </si>
  <si>
    <t>All Categories</t>
  </si>
  <si>
    <t>Filter by consumer category</t>
  </si>
  <si>
    <t xml:space="preserve">1. Login as Super Admin on https://indore.bestinfra.app
2. Open Master Data → Consumer Data
3. Confirm title is Consumer Data and Advanced Filters is ON unless the case says otherwise
4. Open All Categories, pick a category
5. Apply
6. Check Category column</t>
  </si>
  <si>
    <t>All Categories placeholder = no category filter</t>
  </si>
  <si>
    <t>Rows match the category. Clearing back to All Categories + Apply restores mixed categories.</t>
  </si>
  <si>
    <t>GET /indore/master-data/consumer-master-data?categoryTblRefId=</t>
  </si>
  <si>
    <t>IND-CMD-0022</t>
  </si>
  <si>
    <t>Device Manufacturer</t>
  </si>
  <si>
    <t>Filter by Device Manufacturer / OEM</t>
  </si>
  <si>
    <t xml:space="preserve">1. Login as Super Admin on https://indore.bestinfra.app
2. Open Master Data → Consumer Data
3. Confirm title is Consumer Data and Advanced Filters is ON unless the case says otherwise
4. Pick a manufacturer (e.g. L&amp;T if listed)
5. Apply
6. Check Meter Make</t>
  </si>
  <si>
    <t>Device Manufacturer lookup</t>
  </si>
  <si>
    <t>Meter Make on visible rows matches the manufacturer. Empty OEM list is a fail only if lookups loaded.</t>
  </si>
  <si>
    <t>GET /indore/master-data/consumer-master-data?deviceManufacturerTblRefId=</t>
  </si>
  <si>
    <t>IND-CMD-0023</t>
  </si>
  <si>
    <t>Payment Contract</t>
  </si>
  <si>
    <t>Filter by Payment Contract</t>
  </si>
  <si>
    <t xml:space="preserve">1. Login as Super Admin on https://indore.bestinfra.app
2. Open Master Data → Consumer Data
3. Confirm title is Consumer Data and Advanced Filters is ON unless the case says otherwise
4. Pick a payment contract
5. Apply</t>
  </si>
  <si>
    <t>Payment Contract lookup</t>
  </si>
  <si>
    <t>Grid refreshes to that contract set. Reset Filters clears the dropdown back to placeholder.</t>
  </si>
  <si>
    <t>GET /indore/master-data/consumer-master-data?paymentContractTblRefId=</t>
  </si>
  <si>
    <t>IND-CMD-0024</t>
  </si>
  <si>
    <t>Filters</t>
  </si>
  <si>
    <t>Apply Filters without changing anything</t>
  </si>
  <si>
    <t>Apply with defaults does not error</t>
  </si>
  <si>
    <t xml:space="preserve">1. Login as Super Admin on https://indore.bestinfra.app
2. Open Master Data → Consumer Data
3. Confirm title is Consumer Data and Advanced Filters is ON unless the case says otherwise
4. Click Apply Filters with all placeholders and All radio</t>
  </si>
  <si>
    <t>No extra criteria</t>
  </si>
  <si>
    <t>Grid reloads successfully. Total stays the unfiltered master count (or assigned-scope count). No empty-state flash that sticks.</t>
  </si>
  <si>
    <t>GET /indore/master-data/consumer-master-data default Apply</t>
  </si>
  <si>
    <t>IND-CMD-0025</t>
  </si>
  <si>
    <t>Combined filters</t>
  </si>
  <si>
    <t>Multiple filters together AND the result set</t>
  </si>
  <si>
    <t xml:space="preserve">1. Login as Super Admin on https://indore.bestinfra.app
2. Open Master Data → Consumer Data
3. Confirm title is Consumer Data and Advanced Filters is ON unless the case says otherwise
4. Set hierarchy + Meter Phase + Category + Online
5. Apply</t>
  </si>
  <si>
    <t>Multi-filter AND</t>
  </si>
  <si>
    <t>Every visible row satisfies all applied criteria. Total is ≤ each single-filter total. Impossible combo shows filtered empty state 'No data available'.</t>
  </si>
  <si>
    <t>GET /indore/master-data/consumer-master-data combined filters AND</t>
  </si>
  <si>
    <t>4. COMMUNICATION STATUS, RESET, FILTER TOGGLE</t>
  </si>
  <si>
    <t>IND-CMD-0026</t>
  </si>
  <si>
    <t>Online status</t>
  </si>
  <si>
    <t>All radio</t>
  </si>
  <si>
    <t>All is the default communication status</t>
  </si>
  <si>
    <t xml:space="preserve">1. Login as Super Admin on https://indore.bestinfra.app
2. Open Master Data → Consumer Data
3. Confirm title is Consumer Data and Advanced Filters is ON unless the case says otherwise
4. Observe All / Online / Offline</t>
  </si>
  <si>
    <t>All selected with green check</t>
  </si>
  <si>
    <t>All is selected on load. Grid includes both communicating and non-communicating consumers.</t>
  </si>
  <si>
    <t>All radio default</t>
  </si>
  <si>
    <t>IND-CMD-0027</t>
  </si>
  <si>
    <t>Online radio + Apply Filters</t>
  </si>
  <si>
    <t>Online filter shows only communicating consumers</t>
  </si>
  <si>
    <t xml:space="preserve">1. Login as Super Admin on https://indore.bestinfra.app
2. Open Master Data → Consumer Data
3. Confirm title is Consumer Data and Advanced Filters is ON unless the case says otherwise
4. Select Online
5. Apply Filters</t>
  </si>
  <si>
    <t>All | Online | Offline</t>
  </si>
  <si>
    <t>Pagination total is the Online subset. Rows are communicating. Changing radio without Apply must not silently keep old results if the product requires Apply — follow the live rule and note it.</t>
  </si>
  <si>
    <t>GET /indore/master-data/consumer-master-data communicationStatus=Online</t>
  </si>
  <si>
    <t>IND-CMD-0028</t>
  </si>
  <si>
    <t>Offline radio + Apply Filters</t>
  </si>
  <si>
    <t>Offline filter shows only non-communicating consumers</t>
  </si>
  <si>
    <t xml:space="preserve">1. Login as Super Admin on https://indore.bestinfra.app
2. Open Master Data → Consumer Data
3. Confirm title is Consumer Data and Advanced Filters is ON unless the case says otherwise
4. Select Offline
5. Apply Filters</t>
  </si>
  <si>
    <t>Offline</t>
  </si>
  <si>
    <t>Grid is the Offline subset. Opening a consumer still loads the dashboard (dashboard may show delayed/failed comms). Not the full 126743 list.</t>
  </si>
  <si>
    <t>GET /indore/master-data/consumer-master-data communicationStatus=Offline</t>
  </si>
  <si>
    <t>IND-CMD-0029</t>
  </si>
  <si>
    <t>Reset</t>
  </si>
  <si>
    <t>Reset Filters</t>
  </si>
  <si>
    <t>Reset Filters clears every criterion including radios and search</t>
  </si>
  <si>
    <t xml:space="preserve">1. Login as Super Admin on https://indore.bestinfra.app
2. Open Master Data → Consumer Data
3. Confirm title is Consumer Data and Advanced Filters is ON unless the case says otherwise
4. Set search + hierarchy + a dropdown + Offline
5. Apply
6. Click Reset Filters</t>
  </si>
  <si>
    <t>Reset Filters button</t>
  </si>
  <si>
    <t>Search is empty. Dropdowns return to placeholders (Hierarchy Type, Select Hierarchy, Meter Type default, All Meter Phases, Connection Status, All Categories, Device Manufacturer, Payment Contract). Radio returns to All. Grid returns to the unfiltered master total.</t>
  </si>
  <si>
    <t>Reset Filters control</t>
  </si>
  <si>
    <t>IND-CMD-0030</t>
  </si>
  <si>
    <t>Advanced Filters toggle</t>
  </si>
  <si>
    <t>Turning Advanced Filters OFF hides the panel without losing the grid</t>
  </si>
  <si>
    <t xml:space="preserve">1. Login as Super Admin on https://indore.bestinfra.app
2. Open Master Data → Consumer Data
3. Confirm title is Consumer Data and Advanced Filters is ON unless the case says otherwise
4. Apply a filter so the total changes
5. Toggle Advanced Filters OFF
6. Toggle ON again</t>
  </si>
  <si>
    <t>Toggle switch top-right of filter panel</t>
  </si>
  <si>
    <t>Panel collapses/hides. Grid remains visible. Turning ON again still shows the last applied filters (or product-documented default). Page does not reload to a blank state.</t>
  </si>
  <si>
    <t>IND-CMD-0031</t>
  </si>
  <si>
    <t>Apply Filters</t>
  </si>
  <si>
    <t>Impossible filter combo shows filtered empty state</t>
  </si>
  <si>
    <t xml:space="preserve">1. Login as Super Admin on https://indore.bestinfra.app
2. Open Master Data → Consumer Data
3. Confirm title is Consumer Data and Advanced Filters is ON unless the case says otherwise
4. Combine filters that cannot match (e.g. Offline + a rare category + a tight hierarchy)
5. Apply</t>
  </si>
  <si>
    <t>Filtered empty copy</t>
  </si>
  <si>
    <t>Title 'No data available'. Description asks to choose different filters. Clear All Filters action is offered. Not the search empty-state copy.</t>
  </si>
  <si>
    <t>GET /indore/master-data/consumer-master-data empty filtered page</t>
  </si>
  <si>
    <t>5. TABLE, PAGINATION &amp; ROW ACTIONS</t>
  </si>
  <si>
    <t>IND-CMD-0032</t>
  </si>
  <si>
    <t>Pagination</t>
  </si>
  <si>
    <t>Page 2</t>
  </si>
  <si>
    <t>Page 2 loads the next 10 rows with continuous S.No</t>
  </si>
  <si>
    <t xml:space="preserve">1. Login as Super Admin on https://indore.bestinfra.app
2. Open Master Data → Consumer Data
3. Confirm title is Consumer Data and Advanced Filters is ON unless the case says otherwise
4. Click page 2</t>
  </si>
  <si>
    <t>10 / page</t>
  </si>
  <si>
    <t>Footer shows 11-20 of {total}. S.No is 11–20 (not 1–10 repeated). Rows are different from page 1.</t>
  </si>
  <si>
    <t>GET /indore/master-data/consumer-master-data?page=2&amp;limit=10</t>
  </si>
  <si>
    <t>IND-CMD-0033</t>
  </si>
  <si>
    <t>Last page 12675</t>
  </si>
  <si>
    <t>Last page loads remaining rows without error</t>
  </si>
  <si>
    <t xml:space="preserve">1. Login as Super Admin on https://indore.bestinfra.app
2. Open Master Data → Consumer Data
3. Confirm title is Consumer Data and Advanced Filters is ON unless the case says otherwise
4. Jump to last page (12675 at 10/page if total is 126743)</t>
  </si>
  <si>
    <t>Screenshot baseline 09-Sep-2026 (use live values if different): 12675 pages</t>
  </si>
  <si>
    <t>Last page loads. Row count is 1–10 leftover. No 404, empty crash, or S.No reset to 1 unless the product restarts serial per page (if so, document — prefer continuous serial).</t>
  </si>
  <si>
    <t>GET /indore/master-data/consumer-master-data?page=last&amp;limit=10</t>
  </si>
  <si>
    <t>IND-CMD-0034</t>
  </si>
  <si>
    <t>10 / page dropdown</t>
  </si>
  <si>
    <t>Changing page size recalculates pages and keeps filters</t>
  </si>
  <si>
    <t xml:space="preserve">1. Login as Super Admin on https://indore.bestinfra.app
2. Open Master Data → Consumer Data
3. Confirm title is Consumer Data and Advanced Filters is ON unless the case says otherwise
4. Apply a hierarchy filter
5. Change page size to 25 or 50</t>
  </si>
  <si>
    <t>Items per page</t>
  </si>
  <si>
    <t>More rows appear. Footer 'Showing 1-N of {filtered total}'. Page count shrinks. Filter remains applied.</t>
  </si>
  <si>
    <t>GET /indore/master-data/consumer-master-data?limit=25</t>
  </si>
  <si>
    <t>IND-CMD-0035</t>
  </si>
  <si>
    <t>Grid</t>
  </si>
  <si>
    <t>Horizontal scroll</t>
  </si>
  <si>
    <t>Horizontal scroll reveals DTR, IVRS, meter, address columns</t>
  </si>
  <si>
    <t xml:space="preserve">1. Login as Super Admin on https://indore.bestinfra.app
2. Open Master Data → Consumer Data
3. Confirm title is Consumer Data and Advanced Filters is ON unless the case says otherwise
4. Drag the bottom horizontal scrollbar fully right and left</t>
  </si>
  <si>
    <t>Columns include Circle, Division, Zone, Feeder Name, Feeder Code, DTR Code, New DTR Code, DTR Capacity, Consumer Name, Address, Mobile, Category, Sanctioned Load, IVRS, Meter SL No, Meter Make, Phase</t>
  </si>
  <si>
    <t>Header stays aligned with cells. Consumer Name remains visible if it is locked/pinned. No clipped header over data.</t>
  </si>
  <si>
    <t>IND-CMD-0036</t>
  </si>
  <si>
    <t>Truncated address / locality</t>
  </si>
  <si>
    <t>Truncated cells expose full value on hover</t>
  </si>
  <si>
    <t xml:space="preserve">1. Login as Super Admin on https://indore.bestinfra.app
2. Open Master Data → Consumer Data
3. Confirm title is Consumer Data and Advanced Filters is ON unless the case says otherwise
4. Hover a truncated Address or Locality (e.g. 54 Ne, 101/1…)</t>
  </si>
  <si>
    <t>Truncated text</t>
  </si>
  <si>
    <t>Tooltip or expand shows the full string. Copy still copies the full value if a copy icon exists.</t>
  </si>
  <si>
    <t>Truncation tooltip</t>
  </si>
  <si>
    <t>IND-CMD-0037</t>
  </si>
  <si>
    <t>Copy / link icon on code cells</t>
  </si>
  <si>
    <t>Copy icon on DTR / feeder / consumer codes copies the cell value</t>
  </si>
  <si>
    <t xml:space="preserve">1. Login as Super Admin on https://indore.bestinfra.app
2. Open Master Data → Consumer Data
3. Confirm title is Consumer Data and Advanced Filters is ON unless the case says otherwise
4. Click the copy (or external-link) icon on a DTR Code or Feeder Code</t>
  </si>
  <si>
    <t>Screenshot: some code cells show copy/link icon</t>
  </si>
  <si>
    <t>Value is copied (toast) or the link opens the related DTR/feeder page — not a dead icon. Paste/clipboard or navigation proves it.</t>
  </si>
  <si>
    <t>Copy icon</t>
  </si>
  <si>
    <t>IND-CMD-0038</t>
  </si>
  <si>
    <t>Row actions</t>
  </si>
  <si>
    <t>View (eye) icon</t>
  </si>
  <si>
    <t>View opens Consumer Dashboard for that row</t>
  </si>
  <si>
    <t xml:space="preserve">1. Login as Super Admin on https://indore.bestinfra.app
2. Open Master Data → Consumer Data
3. Confirm title is Consumer Data and Advanced Filters is ON unless the case says otherwise
4. Click View on Babulal Nandram (row 1 in snapshot)</t>
  </si>
  <si>
    <t>Consumer: Babulal Nandram · IVRS N3968028469</t>
  </si>
  <si>
    <t>Navigates to Consumer Dashboard. Header name and IVRS match the row. Breadcrumb is Consumer Data / BABULAL NANDRAM. Status badge is Connected (or live status).</t>
  </si>
  <si>
    <t>Navigate to /consumers/:id</t>
  </si>
  <si>
    <t>IND-CMD-0039</t>
  </si>
  <si>
    <t>Edit (pen) icon</t>
  </si>
  <si>
    <t>Edit opens the consumer edit screen for that row</t>
  </si>
  <si>
    <t xml:space="preserve">1. Login as Super Admin on https://indore.bestinfra.app
2. Open Master Data → Consumer Data
3. Confirm title is Consumer Data and Advanced Filters is ON unless the case says otherwise
4. Click Edit on a row</t>
  </si>
  <si>
    <t>Edit affordance next to View</t>
  </si>
  <si>
    <t>Edit page loads for the same consumer id. Cancel/Back returns to Consumer Data. Wrong consumer is a fail.</t>
  </si>
  <si>
    <t>Navigate to consumer edit</t>
  </si>
  <si>
    <t>IND-CMD-0040</t>
  </si>
  <si>
    <t>View icon when id is missing</t>
  </si>
  <si>
    <t>View is disabled when the row has no consumer identifier</t>
  </si>
  <si>
    <t xml:space="preserve">1. Login as Super Admin on https://indore.bestinfra.app
2. Open Master Data → Consumer Data
3. Confirm title is Consumer Data and Advanced Filters is ON unless the case says otherwise
4. If a row has no CID, hover View</t>
  </si>
  <si>
    <t>Aria: Consumer identifier unavailable</t>
  </si>
  <si>
    <t>View is disabled / non-navigating. No blank /consumers/ route. If every row has an id, Pass with Note.</t>
  </si>
  <si>
    <t>Disabled View</t>
  </si>
  <si>
    <t>IND-CMD-0041</t>
  </si>
  <si>
    <t>Row selection circles</t>
  </si>
  <si>
    <t>Selecting rows enables bulk export of the selection</t>
  </si>
  <si>
    <t xml:space="preserve">1. Login as Super Admin on https://indore.bestinfra.app
2. Open Master Data → Consumer Data
3. Confirm title is Consumer Data and Advanced Filters is ON unless the case says otherwise
4. Select 2–3 rows
5. Use bulk bar Export if shown</t>
  </si>
  <si>
    <t>Circular row selectors</t>
  </si>
  <si>
    <t>Selected count is shown. Export uses the selection, not the whole 126k set. Clearing selection restores filtered export.</t>
  </si>
  <si>
    <t>Row selection export</t>
  </si>
  <si>
    <t>6. MANAGE TABLE COLUMNS — MASTER GRID</t>
  </si>
  <si>
    <t>IND-CMD-0042</t>
  </si>
  <si>
    <t>Columns</t>
  </si>
  <si>
    <t>Column configuration icon</t>
  </si>
  <si>
    <t>Manage Table Columns opens for the master grid</t>
  </si>
  <si>
    <t xml:space="preserve">1. Login as Super Admin on https://indore.bestinfra.app
2. Open Master Data → Consumer Data
3. Confirm title is Consumer Data and Advanced Filters is ON unless the case says otherwise
4. Click the three-bar column icon on the grid toolbar</t>
  </si>
  <si>
    <t>Modal: Manage Table Columns · Show in Table vs Hide in Table</t>
  </si>
  <si>
    <t>Modal opens over the grid. Show-in-Table count matches visible columns (snapshot 23). Hide-in-Table may be 0 with empty-state 'Add Columns to Hide from the table.'</t>
  </si>
  <si>
    <t>Manage Table Columns modal</t>
  </si>
  <si>
    <t>IND-CMD-0043</t>
  </si>
  <si>
    <t>Consumer Name lock</t>
  </si>
  <si>
    <t>Consumer Name cannot be hidden</t>
  </si>
  <si>
    <t xml:space="preserve">1. Login as Super Admin on https://indore.bestinfra.app
2. Open Master Data → Consumer Data
3. Confirm title is Consumer Data and Advanced Filters is ON unless the case says otherwise
4. Open Manage Table Columns
5. Try to Hide Consumer Name</t>
  </si>
  <si>
    <t>Consumer Name has lock icon, no Hide</t>
  </si>
  <si>
    <t>Consumer Name is locked. Hide is absent or ignored. Apply still shows Consumer Name first/pinned.</t>
  </si>
  <si>
    <t>Locked Consumer Name</t>
  </si>
  <si>
    <t>IND-CMD-0044</t>
  </si>
  <si>
    <t>Hide on Circle</t>
  </si>
  <si>
    <t>Hide moves Circle to Hide in Table and Apply updates the grid</t>
  </si>
  <si>
    <t xml:space="preserve">1. Login as Super Admin on https://indore.bestinfra.app
2. Open Master Data → Consumer Data
3. Confirm title is Consumer Data and Advanced Filters is ON unless the case says otherwise
4. Click Hide on Circle
5. Apply
6. Inspect grid headers</t>
  </si>
  <si>
    <t>Show counter decreases; Hide counter increases</t>
  </si>
  <si>
    <t>Circle leaves the grid. Show badge = previous−1. Hide list contains Circle. Other columns remain.</t>
  </si>
  <si>
    <t>Hide column</t>
  </si>
  <si>
    <t>IND-CMD-0045</t>
  </si>
  <si>
    <t>Show on a hidden column</t>
  </si>
  <si>
    <t>Show restores a hidden column</t>
  </si>
  <si>
    <t xml:space="preserve">1. Login as Super Admin on https://indore.bestinfra.app
2. Open Master Data → Consumer Data
3. Confirm title is Consumer Data and Advanced Filters is ON unless the case says otherwise
4. Hide Circle, Apply
5. Re-open modal, click Show on Circle, Apply</t>
  </si>
  <si>
    <t>Show / Hide actions</t>
  </si>
  <si>
    <t>Circle returns to the grid in the Show list. Counters reverse.</t>
  </si>
  <si>
    <t>Show column</t>
  </si>
  <si>
    <t>IND-CMD-0046</t>
  </si>
  <si>
    <t>Drag handle</t>
  </si>
  <si>
    <t>Drag-and-drop reorders visible columns</t>
  </si>
  <si>
    <t xml:space="preserve">1. Login as Super Admin on https://indore.bestinfra.app
2. Open Master Data → Consumer Data
3. Confirm title is Consumer Data and Advanced Filters is ON unless the case says otherwise
4. Drag Division above Circle (or Feeder Code next to Feeder Name)
5. Apply</t>
  </si>
  <si>
    <t>Six-dot drag handles</t>
  </si>
  <si>
    <t>Grid column order matches the modal order. Reload keeps the saved order until Reset defaults.</t>
  </si>
  <si>
    <t>Reorder columns</t>
  </si>
  <si>
    <t>IND-CMD-0047</t>
  </si>
  <si>
    <t>Cancel / X</t>
  </si>
  <si>
    <t>Cancel and X discard unsaved column changes</t>
  </si>
  <si>
    <t xml:space="preserve">1. Login as Super Admin on https://indore.bestinfra.app
2. Open Master Data → Consumer Data
3. Confirm title is Consumer Data and Advanced Filters is ON unless the case says otherwise
4. Hide several columns but do not Apply
5. Click Cancel, re-open
6. Repeat with X</t>
  </si>
  <si>
    <t>Cancel + close X</t>
  </si>
  <si>
    <t>Unapplied Hide/reorder is discarded. Grid unchanged. Both Cancel and X behave the same.</t>
  </si>
  <si>
    <t>Cancel column changes</t>
  </si>
  <si>
    <t>IND-CMD-0048</t>
  </si>
  <si>
    <t>Reset defaults</t>
  </si>
  <si>
    <t>Reset defaults restores original column set and order</t>
  </si>
  <si>
    <t xml:space="preserve">1. Login as Super Admin on https://indore.bestinfra.app
2. Open Master Data → Consumer Data
3. Confirm title is Consumer Data and Advanced Filters is ON unless the case says otherwise
4. Hide and reorder columns, Apply
5. Open modal, Reset defaults, Apply</t>
  </si>
  <si>
    <t>Reset defaults link</t>
  </si>
  <si>
    <t>Default columns return (Consumer Name locked, Circle through DTR Capacity visible). Hide count 0 unless product hides some by default.</t>
  </si>
  <si>
    <t>Reset column defaults</t>
  </si>
  <si>
    <t>IND-CMD-0049</t>
  </si>
  <si>
    <t>Hide all hideable columns</t>
  </si>
  <si>
    <t>Hiding every hideable column still leaves Consumer Name (and Actions)</t>
  </si>
  <si>
    <t xml:space="preserve">1. Login as Super Admin on https://indore.bestinfra.app
2. Open Master Data → Consumer Data
3. Confirm title is Consumer Data and Advanced Filters is ON unless the case says otherwise
4. Hide every column that has Hide
5. Apply</t>
  </si>
  <si>
    <t>Minimum visible columns</t>
  </si>
  <si>
    <t>Grid still shows Consumer Name (and Actions if trailing). Not a header-less table. Show count ≥ locked columns.</t>
  </si>
  <si>
    <t>7. LEDGER / BULK UPLOAD</t>
  </si>
  <si>
    <t>IND-CMD-0050</t>
  </si>
  <si>
    <t>Bulk Upload</t>
  </si>
  <si>
    <t>Bulk Upload opens the Ledger modal</t>
  </si>
  <si>
    <t xml:space="preserve">1. Login as Super Admin on https://indore.bestinfra.app
2. Open Master Data → Consumer Data
3. Confirm title is Consumer Data and Advanced Filters is ON unless the case says otherwise
4. Click Bulk Upload</t>
  </si>
  <si>
    <t>Header button label: Bulk Upload. Modal title: Ledger</t>
  </si>
  <si>
    <t>Ledger modal opens. X close is present. Background grid is dimmed. Validate File is visible (disabled until a file is chosen).</t>
  </si>
  <si>
    <t>Open Ledger modal</t>
  </si>
  <si>
    <t>IND-CMD-0051</t>
  </si>
  <si>
    <t>Download Template</t>
  </si>
  <si>
    <t>Download Template saves Ledger Template.xlsx</t>
  </si>
  <si>
    <t xml:space="preserve">1. Login as Super Admin on https://indore.bestinfra.app
2. Open Master Data → Consumer Data
3. Confirm title is Consumer Data and Advanced Filters is ON unless the case says otherwise
4. Open Ledger
5. Click Download Template</t>
  </si>
  <si>
    <t>Need a template? Download Template · filename Ledger Template.xlsx</t>
  </si>
  <si>
    <t>An .xlsx downloads named Ledger Template.xlsx (or equivalent). File opens in Excel with the Ledger columns. Modal stays open.</t>
  </si>
  <si>
    <t>Download Ledger Template.xlsx</t>
  </si>
  <si>
    <t>IND-CMD-0052</t>
  </si>
  <si>
    <t>Merge radio</t>
  </si>
  <si>
    <t>Merge is default compare mode</t>
  </si>
  <si>
    <t xml:space="preserve">1. Login as Super Admin on https://indore.bestinfra.app
2. Open Master Data → Consumer Data
3. Confirm title is Consumer Data and Advanced Filters is ON unless the case says otherwise
4. Open Ledger
5. Read Merge vs Override copy</t>
  </si>
  <si>
    <t>Merge: Blank Ledger cells do not preview a change to existing master values.</t>
  </si>
  <si>
    <t>Merge is selected. Copy matches. Switching away and back to Merge keeps Merge selected.</t>
  </si>
  <si>
    <t>Merge default copy</t>
  </si>
  <si>
    <t>IND-CMD-0053</t>
  </si>
  <si>
    <t>Override radio</t>
  </si>
  <si>
    <t>Override mode can be selected</t>
  </si>
  <si>
    <t xml:space="preserve">1. Login as Super Admin on https://indore.bestinfra.app
2. Open Master Data → Consumer Data
3. Confirm title is Consumer Data and Advanced Filters is ON unless the case says otherwise
4. Select Override</t>
  </si>
  <si>
    <t>Override: Blank Ledger cells may preview as clearing nullable master fields.</t>
  </si>
  <si>
    <t>Override is selected. Helper text is visible. Validate later uses Override (preview/result shows Override).</t>
  </si>
  <si>
    <t>IND-CMD-0054</t>
  </si>
  <si>
    <t>Upload zone</t>
  </si>
  <si>
    <t>Valid .xlsx under 200 MB enables Validate File</t>
  </si>
  <si>
    <t xml:space="preserve">1. Login as Super Admin on https://indore.bestinfra.app
2. Open Master Data → Consumer Data
3. Confirm title is Consumer Data and Advanced Filters is ON unless the case says otherwise
4. Drop or browse a valid Ledger .xlsx &lt; 200 MB
5. Observe Validate File</t>
  </si>
  <si>
    <t>.xlsx only · Maximum 200 MB</t>
  </si>
  <si>
    <t>File name appears in the dropzone. Validate File becomes enabled (solid green). Clicking it starts validation (not a silent no-op).</t>
  </si>
  <si>
    <t>POST /indore/master-data/bulk-upload-consumers (and Ledger validate) valid xlsx</t>
  </si>
  <si>
    <t>IND-CMD-0055</t>
  </si>
  <si>
    <t>Validate checks rows and does not write master data</t>
  </si>
  <si>
    <t xml:space="preserve">1. Login as Super Admin on https://indore.bestinfra.app
2. Open Master Data → Consumer Data
3. Confirm title is Consumer Data and Advanced Filters is ON unless the case says otherwise
4. Upload a small valid Ledger
5. Click Validate File
6. Wait for results</t>
  </si>
  <si>
    <t>Note: Validate checks Ledger rows against current consumer master data. It does not insert or update records.</t>
  </si>
  <si>
    <t>Preview/results open. No master row is inserted/updated until Approve (if shown). Batch/mode label is visible.</t>
  </si>
  <si>
    <t>POST /indore/master-data/bulk-upload-consumers (and Ledger validate) validate does not write</t>
  </si>
  <si>
    <t>IND-CMD-0056</t>
  </si>
  <si>
    <t>Validate File stays disabled without a file</t>
  </si>
  <si>
    <t xml:space="preserve">1. Login as Super Admin on https://indore.bestinfra.app
2. Open Master Data → Consumer Data
3. Confirm title is Consumer Data and Advanced Filters is ON unless the case says otherwise
4. Open Ledger
5. Click Validate File with no file</t>
  </si>
  <si>
    <t>Button appears disabled/transparent</t>
  </si>
  <si>
    <t>No request fires. Button remains disabled. No error toast claiming a file was processed.</t>
  </si>
  <si>
    <t>Validate disabled without file</t>
  </si>
  <si>
    <t>IND-CMD-0057</t>
  </si>
  <si>
    <t>Reject non-.xlsx files (csv, pdf, xls)</t>
  </si>
  <si>
    <t xml:space="preserve">1. Login as Super Admin on https://indore.bestinfra.app
2. Open Master Data → Consumer Data
3. Confirm title is Consumer Data and Advanced Filters is ON unless the case says otherwise
4. Try a .csv, then a .pdf, then a .xls</t>
  </si>
  <si>
    <t>Wrong extensions</t>
  </si>
  <si>
    <t>Each is rejected with a clear message. File is not listed. Validate stays disabled.</t>
  </si>
  <si>
    <t>Reject csv/pdf/xls</t>
  </si>
  <si>
    <t>IND-CMD-0058</t>
  </si>
  <si>
    <t>Reject file over 200 MB</t>
  </si>
  <si>
    <t xml:space="preserve">1. Login as Super Admin on https://indore.bestinfra.app
2. Open Master Data → Consumer Data
3. Confirm title is Consumer Data and Advanced Filters is ON unless the case says otherwise
4. Attempt a file &gt; 200 MB (or mock oversized)</t>
  </si>
  <si>
    <t>Maximum 200 MB</t>
  </si>
  <si>
    <t>Upload is blocked with a size error. Validate stays disabled. App does not freeze.</t>
  </si>
  <si>
    <t>Reject &gt;200 MB</t>
  </si>
  <si>
    <t>IND-CMD-0059</t>
  </si>
  <si>
    <t>Empty Excel / wrong headers fail validation with row errors</t>
  </si>
  <si>
    <t xml:space="preserve">1. Login as Super Admin on https://indore.bestinfra.app
2. Open Master Data → Consumer Data
3. Confirm title is Consumer Data and Advanced Filters is ON unless the case says otherwise
4. Upload an empty sheet or a file with shuffled headers
5. Validate File</t>
  </si>
  <si>
    <t>Invalid Ledger shape</t>
  </si>
  <si>
    <t>Validation reports errors. It does not Approve/write. User can replace the file.</t>
  </si>
  <si>
    <t>POST /indore/master-data/bulk-upload-consumers (and Ledger validate) invalid headers</t>
  </si>
  <si>
    <t>IND-CMD-0060</t>
  </si>
  <si>
    <t>Merge vs Override + blank cells</t>
  </si>
  <si>
    <t>Blank cells preview differently in Merge vs Override</t>
  </si>
  <si>
    <t xml:space="preserve">1. Login as Super Admin on https://indore.bestinfra.app
2. Open Master Data → Consumer Data
3. Confirm title is Consumer Data and Advanced Filters is ON unless the case says otherwise
4. Use a Ledger row with a blank nullable field
5. Validate in Merge
6. Re-validate same file in Override</t>
  </si>
  <si>
    <t>Blank cell on a nullable master field</t>
  </si>
  <si>
    <t>Merge does not preview clearing the existing master value. Override may preview a clear. Difference is visible in the preview grid.</t>
  </si>
  <si>
    <t>POST /indore/master-data/bulk-upload-consumers (and Ledger validate) merge vs override blanks</t>
  </si>
  <si>
    <t>IND-CMD-0061</t>
  </si>
  <si>
    <t>Informational note</t>
  </si>
  <si>
    <t>Full Ledger timing note is visible</t>
  </si>
  <si>
    <t xml:space="preserve">1. Login as Super Admin on https://indore.bestinfra.app
2. Open Master Data → Consumer Data
3. Confirm title is Consumer Data and Advanced Filters is ON unless the case says otherwise
4. Read the note under the dropzone</t>
  </si>
  <si>
    <t>A full Ledger (100,000+ rows) can take up to 30 minutes.</t>
  </si>
  <si>
    <t>Note is visible before Validate. Starting a large file shows progress; UI does not look hung with no feedback.</t>
  </si>
  <si>
    <t>100k+ timing note</t>
  </si>
  <si>
    <t>IND-CMD-0062</t>
  </si>
  <si>
    <t>X close</t>
  </si>
  <si>
    <t>Closing Ledger without validate does not change master data</t>
  </si>
  <si>
    <t xml:space="preserve">1. Login as Super Admin on https://indore.bestinfra.app
2. Open Master Data → Consumer Data
3. Confirm title is Consumer Data and Advanced Filters is ON unless the case says otherwise
4. Open Ledger, attach a file, press X
5. Re-open Ledger</t>
  </si>
  <si>
    <t>Close without Validate/Approve</t>
  </si>
  <si>
    <t>Modal closes. Grid total unchanged. Re-open is a clean form (no leftover file) unless product documents persistence.</t>
  </si>
  <si>
    <t>Close Ledger without write</t>
  </si>
  <si>
    <t>8. DOWNLOAD / EXPORT — MASTER GRID</t>
  </si>
  <si>
    <t>IND-CMD-0063</t>
  </si>
  <si>
    <t>Download</t>
  </si>
  <si>
    <t>Header Download exports the current filtered dataset</t>
  </si>
  <si>
    <t xml:space="preserve">1. Login as Super Admin on https://indore.bestinfra.app
2. Open Master Data → Consumer Data
3. Confirm title is Consumer Data and Advanced Filters is ON unless the case says otherwise
4. Apply a hierarchy or search so total is a known subset
5. Click header Download</t>
  </si>
  <si>
    <t>Header Download exports full filtered set (not only page 1)</t>
  </si>
  <si>
    <t>An Excel/CSV downloads. Row count matches filtered pagination total (or job status if async). Page-1-only file is a fail.</t>
  </si>
  <si>
    <t>GET/POST consumer-master export job (filtered xlsx)</t>
  </si>
  <si>
    <t>Export is async UI — add Playwright API for export job if missing</t>
  </si>
  <si>
    <t>IND-CMD-0064</t>
  </si>
  <si>
    <t>Download with no rows still behaves safely</t>
  </si>
  <si>
    <t xml:space="preserve">1. Login as Super Admin on https://indore.bestinfra.app
2. Open Master Data → Consumer Data
3. Confirm title is Consumer Data and Advanced Filters is ON unless the case says otherwise
4. Search a no-match keyword
5. Click Download</t>
  </si>
  <si>
    <t>Empty filtered set</t>
  </si>
  <si>
    <t>Either a disabled button, empty-file warning, or a header-only file. No 500 / spinner forever.</t>
  </si>
  <si>
    <t>Download empty set</t>
  </si>
  <si>
    <t>IND-CMD-0065</t>
  </si>
  <si>
    <t>Unfiltered download of 100k+ rows is queued or streamed</t>
  </si>
  <si>
    <t xml:space="preserve">1. Login as Super Admin on https://indore.bestinfra.app
2. Open Master Data → Consumer Data
3. Confirm title is Consumer Data and Advanced Filters is ON unless the case says otherwise
4. Reset Filters
5. Click Download on the full 126k set</t>
  </si>
  <si>
    <t>Screenshot baseline 09-Sep-2026 (use live values if different): 126743 rows</t>
  </si>
  <si>
    <t>Export starts (immediate file or job). UI remains usable. File is not truncated to 10 rows.</t>
  </si>
  <si>
    <t>Full 126k export job</t>
  </si>
  <si>
    <t>Async export</t>
  </si>
  <si>
    <t>9. CONSUMER DASHBOARD — NAVIGATION &amp; HEADER</t>
  </si>
  <si>
    <t>IND-CMD-0066</t>
  </si>
  <si>
    <t>View (eye)</t>
  </si>
  <si>
    <t>Consumer Dashboard header matches the master-data row</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</si>
  <si>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Read name, IVRS badge, status, breadcrumb</t>
  </si>
  <si>
    <t>Screenshot baseline 09-Sep-2026 (use live values if different): Babulal Nandram · IVRS No. N3968028469 · Connected · breadcrumb Consumer Data / BABULAL NANDRAM</t>
  </si>
  <si>
    <t>Name, IVRS, and Connected (or live) status match the list row. Clock is visible. No other consumer's data.</t>
  </si>
  <si>
    <t>Consumer Dashboard header vs list row</t>
  </si>
  <si>
    <t>IND-CMD-0067</t>
  </si>
  <si>
    <t>View interval counts</t>
  </si>
  <si>
    <t>View interval counts toggles the interval-counts section</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</si>
  <si>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Click View interval counts
7. Click Hide interval counts (or toggle again)</t>
  </si>
  <si>
    <t>Button: View interval counts</t>
  </si>
  <si>
    <t>Section 'Interval counts by profile' opens (LS / IP / DP / Billing / Events). Hide removes it. Page does not navigate away.</t>
  </si>
  <si>
    <t>IND-CMD-0068</t>
  </si>
  <si>
    <t>Header Download opens export type picker and downloads Excel</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</si>
  <si>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Click Download
7. Select available types and confirm</t>
  </si>
  <si>
    <t>Download consumer data</t>
  </si>
  <si>
    <t>Modal lists export types. Confirm produces Excel file(s) and a success toast. Cancel closes without download.</t>
  </si>
  <si>
    <t>Consumer header Download modal</t>
  </si>
  <si>
    <t>IND-CMD-0069</t>
  </si>
  <si>
    <t>Open Profile</t>
  </si>
  <si>
    <t>Profile drawer/section opens consumer identity</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</si>
  <si>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Click the header avatar / Open Profile</t>
  </si>
  <si>
    <t>Profile Information</t>
  </si>
  <si>
    <t>Profile Information shows identity, meter serial, hierarchy. Closing returns to the dashboard.</t>
  </si>
  <si>
    <t>IND-CMD-0070</t>
  </si>
  <si>
    <t>Direct URL</t>
  </si>
  <si>
    <t>Invalid consumer id shows empty state, not a crash</t>
  </si>
  <si>
    <t xml:space="preserve">1. Login as Super Admin on https://indore.bestinfra.app
2. Open Master Data → Consumer Data
3. Confirm title is Consumer Data and Advanced Filters is ON unless the case says otherwise
4. Open /consumers/not-a-real-id (or strip the id)</t>
  </si>
  <si>
    <t>Invalid / missing consumer reference</t>
  </si>
  <si>
    <t>Empty state: Invalid consumer reference or Consumer not found. Action returns to the consumer list. No infinite skeleton.</t>
  </si>
  <si>
    <t>Invalid consumer route</t>
  </si>
  <si>
    <t>IND-CMD-0071</t>
  </si>
  <si>
    <t>Status badge</t>
  </si>
  <si>
    <t>Disconnected (or other) status uses a distinct badge</t>
  </si>
  <si>
    <t xml:space="preserve">1. Login as Super Admin on https://indore.bestinfra.app
2. Open Master Data → Consumer Data
3. Confirm title is Consumer Data and Advanced Filters is ON unless the case says otherwise
4. Filter Connection Status to Disconnected if available
5. Open View on that row</t>
  </si>
  <si>
    <t>Compare with Connected snapshot</t>
  </si>
  <si>
    <t>Badge is not Connected. Colour/label matches status. KPIs still render (zeros/placeholders allowed).</t>
  </si>
  <si>
    <t>Disconnected badge</t>
  </si>
  <si>
    <t>10. CONSUMER DASHBOARD — KPI CARDS</t>
  </si>
  <si>
    <t>IND-CMD-0072</t>
  </si>
  <si>
    <t>KPI cards</t>
  </si>
  <si>
    <t>12 overview cards</t>
  </si>
  <si>
    <t>All 12 Consumer Dashboard KPI cards render</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</si>
  <si>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Scroll the 4×3 KPI grid</t>
  </si>
  <si>
    <t>Screenshot baseline 09-Sep-2026 (use live values if different): Maximum Demand 0.2 kVA, Maximum Demand 0.2 kW, Neutral Current 0.22 Amps, Overall PF -0.97, Frequency 49.9 Hz, Resolved Events 3, Pending Events 2, Avg Resolution Time 5m, Daily Consumption 1.9, Monthly Consumption 57.15, Total Outstanding ₹0, Bill Status Unknown</t>
  </si>
  <si>
    <t>All 12 titles, values, units, and footers render. Icon colours follow green/blue/orange/red. No blank card.</t>
  </si>
  <si>
    <t>12 KPI cards</t>
  </si>
  <si>
    <t>IND-CMD-0073</t>
  </si>
  <si>
    <t>No previous-month data footers</t>
  </si>
  <si>
    <t>Missing last-month comparison shows 'No previous-month data'</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</si>
  <si>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Read footers on demand, PF, frequency, avg resolution</t>
  </si>
  <si>
    <t>Footer copy</t>
  </si>
  <si>
    <t>Cards without history show 'No previous-month data' (not NaN, not blank). Resolved/Pending may show 'No change vs last month' when counts exist.</t>
  </si>
  <si>
    <t>No previous-month data footer</t>
  </si>
  <si>
    <t>IND-CMD-0074</t>
  </si>
  <si>
    <t>Overall PF value</t>
  </si>
  <si>
    <t>Negative power factor is displayed with sign</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</si>
  <si>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Read Overall PF</t>
  </si>
  <si>
    <t>Screenshot baseline 09-Sep-2026 (use live values if different): -0.97</t>
  </si>
  <si>
    <t>Value is -0.97 (or live PF), not abs()'d to 0.97, not '--' while other phase PF exists.</t>
  </si>
  <si>
    <t>Negative PF</t>
  </si>
  <si>
    <t>IND-CMD-0075</t>
  </si>
  <si>
    <t>Daily vs Monthly consumption</t>
  </si>
  <si>
    <t>Daily and Monthly consumption footers use kWh and prior period</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</si>
  <si>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Read Daily Consumption and Monthly Consumption</t>
  </si>
  <si>
    <t>Screenshot baseline 09-Sep-2026 (use live values if different): Daily 1.9, Previous day 1.9 kWh; Monthly 57.15, Last month 74.37 kWh</t>
  </si>
  <si>
    <t>Units are kWh in footer (and on value if designed). Previous day / last month are numeric. Monthly is not equal to Daily unless data truly matches.</t>
  </si>
  <si>
    <t>Daily/Monthly kWh</t>
  </si>
  <si>
    <t>IND-CMD-0076</t>
  </si>
  <si>
    <t>Total Outstanding + Bill Status</t>
  </si>
  <si>
    <t>Zero dues and Unknown bill status render without error</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</si>
  <si>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Read Total Outstanding and Bill Status</t>
  </si>
  <si>
    <t>Screenshot baseline 09-Sep-2026 (use live values if different): ₹0 Current dues · Bill Status Unknown / Current status</t>
  </si>
  <si>
    <t>₹0 is shown (not blank). Unknown is a labelled status, not a crash. Footer 'Current dues' / 'Current status'.</t>
  </si>
  <si>
    <t>₹0 / Bill Unknown</t>
  </si>
  <si>
    <t>IND-CMD-0077</t>
  </si>
  <si>
    <t>Resolved vs Pending Events</t>
  </si>
  <si>
    <t>Event KPI counts are consistent with Meter Events table</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</si>
  <si>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Note Resolved Events and Pending Events
7. Scroll to Meter Events, filter Restored vs Pending</t>
  </si>
  <si>
    <t>Screenshot baseline 09-Sep-2026 (use live values if different): Resolved 3, Pending 2; events table Showing 1-5 of 5</t>
  </si>
  <si>
    <t>Pending KPI ≈ Pending rows (2). Restored KPI ≈ Restored rows (3) if the table is unfiltered all-time/current month as designed. Document the window if it differs — silent mismatch is a fail.</t>
  </si>
  <si>
    <t>KPI vs Meter Events counts</t>
  </si>
  <si>
    <t>11. CONSUMER DASHBOARD — REAL-TIME POWER &amp; LIVE LOAD</t>
  </si>
  <si>
    <t>IND-CMD-0078</t>
  </si>
  <si>
    <t>Real-Time Power</t>
  </si>
  <si>
    <t>Real-Time Power Metrics</t>
  </si>
  <si>
    <t>R/Y/B phase cards render with meter serial and timestamp</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</si>
  <si>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Scroll to Real-Time Power Metrics</t>
  </si>
  <si>
    <t>Screenshot baseline 09-Sep-2026 (use live values if different): Meter 88017671. R-Phase V 249.38, I 0.22 A, PF -0.97. Y and B = --. Stamp 30th Nov 2025, 11:45 PM</t>
  </si>
  <si>
    <t>Title is Real-Time Power Metrics. Meter serial matches the master-data Meter SL No. R-Phase shows voltage/current/PF. Missing phases use '--' not 0.</t>
  </si>
  <si>
    <t>IND-CMD-0079</t>
  </si>
  <si>
    <t>Y-Phase / B-Phase</t>
  </si>
  <si>
    <t>Unused phases stay on placeholder '--'</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</si>
  <si>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Read Y-Phase and B-Phase</t>
  </si>
  <si>
    <t>1-phase consumer</t>
  </si>
  <si>
    <t>Y and B are '--' for Voltage, Current, and PF. They are not 0.00 and not copied from R-Phase.</t>
  </si>
  <si>
    <t>Y/B phase --</t>
  </si>
  <si>
    <t>IND-CMD-0080</t>
  </si>
  <si>
    <t>Live Load Profile</t>
  </si>
  <si>
    <t>Live Load Profile donut</t>
  </si>
  <si>
    <t>Donut total equals Active + Apparent + Reactive</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</si>
  <si>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Read Live Load Profile center and legend</t>
  </si>
  <si>
    <t>Screenshot baseline 09-Sep-2026 (use live values if different): Total 0.08 · Active 0.04 · Apparent 0.04 · Reactive 0. Last Communication 1st Dec 2025, 11:46 PM</t>
  </si>
  <si>
    <t>Center total = 0.04+0.04+0 (or live sum). Legend colours match segments. Download icon is present and exports (does not navigate).</t>
  </si>
  <si>
    <t>Live Load donut sum</t>
  </si>
  <si>
    <t>IND-CMD-0081</t>
  </si>
  <si>
    <t>Last Communication vs Real-Time stamp</t>
  </si>
  <si>
    <t>Real-Time header time and Live Load last-communication are consistent or labelled</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</si>
  <si>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Compare Real-Time Power timestamp with Live Load Last Communication</t>
  </si>
  <si>
    <t>Screenshot baseline 09-Sep-2026 (use live values if different): Real-Time 30 Nov 2025 11:45 PM vs Last Communication 1 Dec 2025 11:46 PM</t>
  </si>
  <si>
    <t>If both are last-packet times they must match (same minute). If they are different metrics, labels must say so. Unexplained day gap is a fail — log Defect ID.</t>
  </si>
  <si>
    <t>Timestamp consistency</t>
  </si>
  <si>
    <t>IND-CMD-0082</t>
  </si>
  <si>
    <t>Download icon</t>
  </si>
  <si>
    <t>Live Load download exports chart data, does not open records</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</si>
  <si>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Click Live Load Profile download</t>
  </si>
  <si>
    <t>Download on Live Load header</t>
  </si>
  <si>
    <t>File downloads. URL stays on the consumer dashboard.</t>
  </si>
  <si>
    <t>Live Load download</t>
  </si>
  <si>
    <t>12. CONSUMER DASHBOARD — ENERGY CONSUMPTION &amp; ENERGY FLOW</t>
  </si>
  <si>
    <t>IND-CMD-0083</t>
  </si>
  <si>
    <t>Energy Consumption chart</t>
  </si>
  <si>
    <t>Hourly Energy Consumption plots last 12 hours</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</si>
  <si>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Scroll to Energy Consumption
7. Confirm Hourly is selected</t>
  </si>
  <si>
    <t>Screenshot baseline 09-Sep-2026 (use live values if different): Last 12 Hours · 12:00–23:00. Y-axis Consumption (kWh) 0–1. Bars 12:00–23:00, peak ~20:00–22:00 still &lt; 1 kWh</t>
  </si>
  <si>
    <t>Title Energy Consumption. Subtitle matches the x-axis. 12 bars (or live hours). Y-axis unit is kWh. No overlapping labels.</t>
  </si>
  <si>
    <t>Energy Consumption hourly</t>
  </si>
  <si>
    <t>IND-CMD-0084</t>
  </si>
  <si>
    <t>Hourly / Daily / Weekly / Monthly / Yearly</t>
  </si>
  <si>
    <t>Period dropdown refreshes axis and subtitle</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</si>
  <si>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Open the Hourly menu
7. Select Daily, then Weekly, Monthly, Yearly, back to Hourly</t>
  </si>
  <si>
    <t>Menu: Hourly, Daily, Weekly, Monthly, Yearly</t>
  </si>
  <si>
    <t>Each selection reloads the chart. X-axis changes (hours → dates → months → years). Subtitle updates. Empty period shows 'No Consumption Data' empty state, not a stale Hourly series.</t>
  </si>
  <si>
    <t>Energy Consumption periods</t>
  </si>
  <si>
    <t>IND-CMD-0085</t>
  </si>
  <si>
    <t>Energy Consumption download exports the visible period</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</si>
  <si>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Set Daily
7. Click download</t>
  </si>
  <si>
    <t>Download on Energy Consumption</t>
  </si>
  <si>
    <t>File matches the selected period. Staying on Hourly while file is Daily is a fail.</t>
  </si>
  <si>
    <t>Energy Consumption download</t>
  </si>
  <si>
    <t>IND-CMD-0086</t>
  </si>
  <si>
    <t>Y-axis scale</t>
  </si>
  <si>
    <t>Very small kWh values still plot (not a blank 0–1 with invisible bars)</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</si>
  <si>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Observe bars vs 0 and 1 kWh grid</t>
  </si>
  <si>
    <t>Screenshot baseline 09-Sep-2026 (use live values if different): bars well below 1 kWh</t>
  </si>
  <si>
    <t>Bars are visible. Scale is suitable (0–1 is OK if bars read). Zero hours are ~0 height, not missing ticks.</t>
  </si>
  <si>
    <t>Small kWh scale</t>
  </si>
  <si>
    <t>IND-CMD-0087</t>
  </si>
  <si>
    <t>Energy Flow chart</t>
  </si>
  <si>
    <t>Hourly Energy Flow shows import/export series for last 6 hours</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</si>
  <si>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Scroll to Energy Flow</t>
  </si>
  <si>
    <t>Screenshot baseline 09-Sep-2026 (use live values if different): Last 6 Hours · 18:00–23:00, 1 Dec 2025. Legend kWh Import, kVAh Import, kWh Export, kVAh Export. Y 0–12k. Import ~10k flat. Export ~0</t>
  </si>
  <si>
    <t>Four legend items. X-axis matches subtitle hours. Import series is visible. Export at 0 is a line on the axis, not a missing series. Dropdown is Hourly.</t>
  </si>
  <si>
    <t>Energy Flow hourly</t>
  </si>
  <si>
    <t>IND-CMD-0088</t>
  </si>
  <si>
    <t>Period dropdown</t>
  </si>
  <si>
    <t>Energy Flow period change reloads categories</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</si>
  <si>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Change Energy Flow from Hourly to Daily / Weekly / Monthly / Yearly</t>
  </si>
  <si>
    <t>Same period set as Energy Consumption</t>
  </si>
  <si>
    <t>Chart and subtitle update independently of Energy Consumption (two widgets can differ). Empty period uses 'No Energy Flow Data'.</t>
  </si>
  <si>
    <t>Energy Flow periods</t>
  </si>
  <si>
    <t>IND-CMD-0089</t>
  </si>
  <si>
    <t>k-suffix axis</t>
  </si>
  <si>
    <t>Large import values use k-suffix without clipping</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</si>
  <si>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Read Y-axis ticks 0, 2k … 12k</t>
  </si>
  <si>
    <t>k suffix</t>
  </si>
  <si>
    <t>Ticks are readable. 10k series is not clipped at the top. Hover (if any) shows a precise number.</t>
  </si>
  <si>
    <t>Energy Flow k-axis</t>
  </si>
  <si>
    <t>IND-CMD-0090</t>
  </si>
  <si>
    <t>Energy Flow download exports selected period</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</si>
  <si>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Click Energy Flow download</t>
  </si>
  <si>
    <t>Download on Energy Flow</t>
  </si>
  <si>
    <t>File downloads. Page does not navigate.</t>
  </si>
  <si>
    <t>Energy Flow download</t>
  </si>
  <si>
    <t>13. CONSUMER DASHBOARD — METER EVENTS</t>
  </si>
  <si>
    <t>IND-CMD-0091</t>
  </si>
  <si>
    <t>Meter Events table</t>
  </si>
  <si>
    <t>Meter Events table loads for the consumer meter</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</si>
  <si>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Scroll to Meter Events</t>
  </si>
  <si>
    <t>Screenshot baseline 09-Sep-2026 (use live values if different): Showing 1-5 of 5. Meter Sl No. 88017671. Columns: S No., Meter Sl No., Event Code, Event Name, Occurred On, Restored At, Duration, Status</t>
  </si>
  <si>
    <t>Five (or live) rows. All Meter Sl No. match 88017671. Status pills: Restored green, Pending orange. Footer count is correct.</t>
  </si>
  <si>
    <t>IND-CMD-0092</t>
  </si>
  <si>
    <t>Search Events</t>
  </si>
  <si>
    <t>Search Events filters by name or code</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</si>
  <si>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Search Power failure
7. Clear, search 7050</t>
  </si>
  <si>
    <t>Power failure leaves 7048 rows. 7050 leaves Real time clock rows. Clearing restores 5 of 5 (or live total).</t>
  </si>
  <si>
    <t>IND-CMD-0093</t>
  </si>
  <si>
    <t>Select Event</t>
  </si>
  <si>
    <t>Select Event lists event names and filters the table</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</si>
  <si>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Open Select Event
7. Pick Power failure</t>
  </si>
  <si>
    <t>Dropdown includes Abnormal External Magnetic Influence, Activity Calendar…, B Phase - CT Open, Power failure, etc.</t>
  </si>
  <si>
    <t>Only that event remains. Long names are readable (wrap or tooltip). Scroll works in the list.</t>
  </si>
  <si>
    <t>IND-CMD-0094</t>
  </si>
  <si>
    <t>Select Status</t>
  </si>
  <si>
    <t>Status filter Restored / Pending / Unknown</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</si>
  <si>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Open Select Status
7. Pick Restored, then Pending, then Unknown</t>
  </si>
  <si>
    <t>Status: Restored, Pending, Unknown</t>
  </si>
  <si>
    <t>Restored → green rows only. Pending → orange rows, Restored At is — or blank, Duration 0s (or live timer). Unknown → matching rows or empty. Combination with Select Event ANDs.</t>
  </si>
  <si>
    <t>IND-CMD-0095</t>
  </si>
  <si>
    <t>Select Date Range</t>
  </si>
  <si>
    <t>Date range picker filters Occurred On</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</si>
  <si>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Open Select Date Range (dual calendar)
7. Pick a range that includes 16 Jul 2025
8. Click Clear</t>
  </si>
  <si>
    <t>Dual month calendars + Clear</t>
  </si>
  <si>
    <t>Only events in range remain. Clear restores unfiltered events. Start-after-end is blocked or auto-corrected. Month arrows work.</t>
  </si>
  <si>
    <t>IND-CMD-0096</t>
  </si>
  <si>
    <t>Duration vs timestamps</t>
  </si>
  <si>
    <t>Duration equals Restored At − Occurred On for Restored rows</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</si>
  <si>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For each Restored row, compute restored − occurred</t>
  </si>
  <si>
    <t>Screenshot baseline 09-Sep-2026 (use live values if different): 16 Jul 2025 07:30 AM → 07:37 AM = 7m 30s; 9 Jul 11:58 AM → 12:06 PM = 8m 46s; 6s row</t>
  </si>
  <si>
    <t>Displayed Duration matches the timestamps (±1s). Pending rows with — restored stay 0s (or running). Restored with blank Restored At is a fail — log Defect ID.</t>
  </si>
  <si>
    <t>IND-CMD-0097</t>
  </si>
  <si>
    <t>Events download matches the filtered table</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</si>
  <si>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Filter Pending
7. Click Download</t>
  </si>
  <si>
    <t>Events toolbar download</t>
  </si>
  <si>
    <t>File contains only Pending rows (2 in snapshot). Unfiltered download would be 5. Column set matches visible columns after Manage Columns.</t>
  </si>
  <si>
    <t>Events download</t>
  </si>
  <si>
    <t>IND-CMD-0098</t>
  </si>
  <si>
    <t>No-match search shows empty events list</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</si>
  <si>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Search QQQQXXXX</t>
  </si>
  <si>
    <t>No event match</t>
  </si>
  <si>
    <t>Table empty / 0 of 0. Filters remain. Clearing search restores events. Page does not hide the whole dashboard.</t>
  </si>
  <si>
    <t>Events no-match search</t>
  </si>
  <si>
    <t>IND-CMD-0099</t>
  </si>
  <si>
    <t>Date range</t>
  </si>
  <si>
    <t>Future-only range that contains no events is empty, not all events</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</si>
  <si>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Pick a future range with no events (e.g. Sep 2026 if events are 2025)</t>
  </si>
  <si>
    <t>Calendar can show September 2026</t>
  </si>
  <si>
    <t>0 events. Not the unfiltered 5. Clear brings them back.</t>
  </si>
  <si>
    <t>Future date range empty</t>
  </si>
  <si>
    <t>14. CONSUMER DASHBOARD — METER EVENTS COLUMNS</t>
  </si>
  <si>
    <t>IND-CMD-0100</t>
  </si>
  <si>
    <t>Events columns</t>
  </si>
  <si>
    <t>Manage Table Columns opens for Meter Events</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</si>
  <si>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Click the events column-config icon</t>
  </si>
  <si>
    <t>Screenshot baseline 09-Sep-2026 (use live values if different): Show in Table 7 (Meter Sl No., Event Code, Event Name, Occurred On, Restored At, Duration, Status). Hide in Table 1 (Source)</t>
  </si>
  <si>
    <t>Modal lists those columns. Counters 7 and 1. Drag handles on shown columns.</t>
  </si>
  <si>
    <t>Events Manage Columns</t>
  </si>
  <si>
    <t>IND-CMD-0101</t>
  </si>
  <si>
    <t>Show on Source</t>
  </si>
  <si>
    <t>Showing Source adds the column to the events table</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</si>
  <si>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Click Show on Source
7. Apply</t>
  </si>
  <si>
    <t>Source currently hidden</t>
  </si>
  <si>
    <t>Source column appears. Show count 8, Hide 0. Download includes Source after Apply.</t>
  </si>
  <si>
    <t>Show Source</t>
  </si>
  <si>
    <t>IND-CMD-0102</t>
  </si>
  <si>
    <t>Hide on Event Name</t>
  </si>
  <si>
    <t>Hiding Event Name removes it after Apply</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</si>
  <si>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Hide Event Name, Apply</t>
  </si>
  <si>
    <t>Hide action</t>
  </si>
  <si>
    <t>Event Name leaves the table. Codes still show. Reset defaults restores Event Name.</t>
  </si>
  <si>
    <t>Hide Event Name</t>
  </si>
  <si>
    <t>IND-CMD-0103</t>
  </si>
  <si>
    <t>Reset defaults restores events column set</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</si>
  <si>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Hide/show several columns, Apply
7. Reset defaults, Apply</t>
  </si>
  <si>
    <t>Back to product default (Source hidden unless default-on). Cancel does not save.</t>
  </si>
  <si>
    <t>Events Reset defaults</t>
  </si>
  <si>
    <t>15. DTR DASHBOARD — NAVIGATION FROM CONSUMER MASTER DATA</t>
  </si>
  <si>
    <t>IND-CMD-0104</t>
  </si>
  <si>
    <t>DTR Code cell</t>
  </si>
  <si>
    <t>DTR Code on the master grid opens (or leads to) DTR Dashboard</t>
  </si>
  <si>
    <t xml:space="preserve">1. Login as Super Admin on https://indore.bestinfra.app
2. Open Master Data → Consumer Data
3. Confirm title is Consumer Data and Advanced Filters is ON unless the case says otherwise
4. Note a DTR Code on a visible row (screenshot sample: MM521 / 34SO19)
5. Open DTR Dashboard at /dtr/{code} (click DTR Code if it is a link; otherwise copy the code and open the DTR individual page)
6. Confirm URL and header</t>
  </si>
  <si>
    <t>Screenshot baseline 09-Sep-2026 (use live values if different): DTR codes MM521, 34SO19, WI6110. Route /dtr/{code}</t>
  </si>
  <si>
    <t>DTR Dashboard (individual) loads for that exact code. Title/header shows the DTR code. Not a different DTR and not Consumer Dashboard.</t>
  </si>
  <si>
    <t>Open /dtr/:code from master grid</t>
  </si>
  <si>
    <t>IND-CMD-0105</t>
  </si>
  <si>
    <t>New DTR Code</t>
  </si>
  <si>
    <t>New DTR Code is displayed and usable when present</t>
  </si>
  <si>
    <t xml:space="preserve">1. Login as Super Admin on https://indore.bestinfra.app
2. Open Master Data → Consumer Data
3. Confirm title is Consumer Data and Advanced Filters is ON unless the case says otherwise
4. Find a row with New DTR Code (e.g. OSZ0000194-style / MM521)
5. Compare DTR Code vs New DTR Code
6. Open DTR Dashboard from the code the product treats as current</t>
  </si>
  <si>
    <t>Columns: DTR Code and New DTR Code</t>
  </si>
  <si>
    <t>Both values render. Dashboard opens the current/mapped DTR. Opening a retired code shows not-found empty state rather than the wrong live DTR.</t>
  </si>
  <si>
    <t>New DTR Code vs DTR Code</t>
  </si>
  <si>
    <t>IND-CMD-0106</t>
  </si>
  <si>
    <t>Unknown DTR code shows empty/not-found, not consumer data</t>
  </si>
  <si>
    <t xml:space="preserve">1. Login as Super Admin on https://indore.bestinfra.app
2. Open Master Data → Consumer Data
3. Confirm title is Consumer Data and Advanced Filters is ON unless the case says otherwise
4. Open /dtr/NOTAREALDTR999</t>
  </si>
  <si>
    <t>Invalid DTR</t>
  </si>
  <si>
    <t>Empty/error state for DTR. No consumer KPI grid. Action can return to DTR list or master data.</t>
  </si>
  <si>
    <t>Invalid DTR route</t>
  </si>
  <si>
    <t>IND-CMD-0107</t>
  </si>
  <si>
    <t>DTR Capacity column</t>
  </si>
  <si>
    <t>DTR Capacity on the master row matches DTR Dashboard capacity</t>
  </si>
  <si>
    <t xml:space="preserve">1. Login as Super Admin on https://indore.bestinfra.app
2. Open Master Data → Consumer Data
3. Confirm title is Consumer Data and Advanced Filters is ON unless the case says otherwise
4. Note DTR Capacity on a row (100 / 200 / 315)
5. Open that DTR Dashboard
6. Read capacity gauge / statistics</t>
  </si>
  <si>
    <t>Screenshot baseline 09-Sep-2026 (use live values if different): capacities 100, 200, 315</t>
  </si>
  <si>
    <t>Dashboard capacity equals the master-data cell. Unit (kVA) consistent. Mismatch is a fail.</t>
  </si>
  <si>
    <t>DTR Capacity parity</t>
  </si>
  <si>
    <t>16. DTR DASHBOARD — STATISTICS, REAL-TIME, ENERGY, EVENTS</t>
  </si>
  <si>
    <t>IND-CMD-0108</t>
  </si>
  <si>
    <t>Statistic cards</t>
  </si>
  <si>
    <t>DTR Dashboard statistic cards render</t>
  </si>
  <si>
    <t xml:space="preserve">1. Login as Super Admin on https://indore.bestinfra.app
2. Open Master Data → Consumer Data
3. Confirm title is Consumer Data and Advanced Filters is ON unless the case says otherwise
4. Note a DTR Code on a visible row (screenshot sample: MM521 / 34SO19)
5. Open DTR Dashboard at /dtr/{code} (click DTR Code if it is a link; otherwise copy the code and open the DTR individual page)
6. Read the top statistic row</t>
  </si>
  <si>
    <t>Cards include Total Consumer, Power On, Power Off, Status (and other API cards if shown)</t>
  </si>
  <si>
    <t>Cards show values (not perpetual skeleton). Total Consumer on this DTR should be ≥ 1 for a DTR that appeared on Consumer Master Data. Empty copy 'No statistics available for this DTR' only when API returns none.</t>
  </si>
  <si>
    <t>DTR statistic cards</t>
  </si>
  <si>
    <t>IND-CMD-0109</t>
  </si>
  <si>
    <t>Real-time Power Metrics</t>
  </si>
  <si>
    <t>DTR Real-time Power Metrics uses R/Y/B same pattern as consumer</t>
  </si>
  <si>
    <t xml:space="preserve">1. Login as Super Admin on https://indore.bestinfra.app
2. Open Master Data → Consumer Data
3. Confirm title is Consumer Data and Advanced Filters is ON unless the case says otherwise
4. Note a DTR Code on a visible row (screenshot sample: MM521 / 34SO19)
5. Open DTR Dashboard at /dtr/{code} (click DTR Code if it is a link; otherwise copy the code and open the DTR individual page)
6. Scroll to Real-time Power Metrics</t>
  </si>
  <si>
    <t>Same widget family as consumer dashboard</t>
  </si>
  <si>
    <t>Title Real-time Power Metrics. Meter SL No. shown. Phases with no data use '--'. Timestamp present. Missing whole section is a fail.</t>
  </si>
  <si>
    <t>DTR Real-time Power</t>
  </si>
  <si>
    <t>IND-CMD-0110</t>
  </si>
  <si>
    <t>Power Triangle + Energy Flow</t>
  </si>
  <si>
    <t>Power Triangle and Energy Flow render side by side</t>
  </si>
  <si>
    <t xml:space="preserve">1. Login as Super Admin on https://indore.bestinfra.app
2. Open Master Data → Consumer Data
3. Confirm title is Consumer Data and Advanced Filters is ON unless the case says otherwise
4. Note a DTR Code on a visible row (screenshot sample: MM521 / 34SO19)
5. Open DTR Dashboard at /dtr/{code} (click DTR Code if it is a link; otherwise copy the code and open the DTR individual page)
6. Observe Power Triangle and Energy Flow
7. Change Energy Flow period Hourly→Daily</t>
  </si>
  <si>
    <t>Energy Flow periods: Hourly / Daily / Weekly / Monthly / Yearly</t>
  </si>
  <si>
    <t>Power Triangle has download. Energy Flow has legend (kWh/kVAh import/export) and period dropdown. Period change refreshes DTR energy, not the consumer page. Empty uses 'No Energy Flow Data'.</t>
  </si>
  <si>
    <t>DTR Power Triangle + Energy Flow</t>
  </si>
  <si>
    <t>IND-CMD-0111</t>
  </si>
  <si>
    <t>DTR Energy Consumption period dropdown matches consumer coverage</t>
  </si>
  <si>
    <t xml:space="preserve">1. Login as Super Admin on https://indore.bestinfra.app
2. Open Master Data → Consumer Data
3. Confirm title is Consumer Data and Advanced Filters is ON unless the case says otherwise
4. Note a DTR Code on a visible row (screenshot sample: MM521 / 34SO19)
5. Open DTR Dashboard at /dtr/{code} (click DTR Code if it is a link; otherwise copy the code and open the DTR individual page)
6. Scroll to Energy Consumption
7. Switch Hourly / Daily / Weekly / Monthly / Yearly</t>
  </si>
  <si>
    <t>Y-axis Consumption (kWh) — consumer-style column chart</t>
  </si>
  <si>
    <t>Each period reloads. Empty state 'No Consumption Data'. Download exports DTR data labelled with the DTR code.</t>
  </si>
  <si>
    <t>DTR Energy Consumption periods</t>
  </si>
  <si>
    <t>IND-CMD-0112</t>
  </si>
  <si>
    <t>DTR Meter Events toolbar matches consumer (search, event, status, date, download, columns)</t>
  </si>
  <si>
    <t xml:space="preserve">1. Login as Super Admin on https://indore.bestinfra.app
2. Open Master Data → Consumer Data
3. Confirm title is Consumer Data and Advanced Filters is ON unless the case says otherwise
4. Note a DTR Code on a visible row (screenshot sample: MM521 / 34SO19)
5. Open DTR Dashboard at /dtr/{code} (click DTR Code if it is a link; otherwise copy the code and open the DTR individual page)
6. Scroll to Meter Events
7. Search, filter status Pending, pick a date range, download</t>
  </si>
  <si>
    <t>Same filter + download toolbar pattern as consumer</t>
  </si>
  <si>
    <t>Events belong to this DTR meter(s), not the previous consumer's 88017671 unless that meter is on this DTR. Status pills Restored/Pending. Download file title includes DTR code.</t>
  </si>
  <si>
    <t>DTR Meter Events toolbar</t>
  </si>
  <si>
    <t>IND-CMD-0113</t>
  </si>
  <si>
    <t>DTR page Download exports DTR workbook types</t>
  </si>
  <si>
    <t xml:space="preserve">1. Login as Super Admin on https://indore.bestinfra.app
2. Open Master Data → Consumer Data
3. Confirm title is Consumer Data and Advanced Filters is ON unless the case says otherwise
4. Note a DTR Code on a visible row (screenshot sample: MM521 / 34SO19)
5. Open DTR Dashboard at /dtr/{code} (click DTR Code if it is a link; otherwise copy the code and open the DTR individual page)
6. Click page Download / export</t>
  </si>
  <si>
    <t>ExportDataType modal</t>
  </si>
  <si>
    <t>Export completes for this DTR. Files are not named for a consumer id. Cancel is safe.</t>
  </si>
  <si>
    <t>DTR header Download</t>
  </si>
  <si>
    <t>IND-CMD-0114</t>
  </si>
  <si>
    <t>Power On / Power Off</t>
  </si>
  <si>
    <t>Power On + Power Off is consistent with Status</t>
  </si>
  <si>
    <t xml:space="preserve">1. Login as Super Admin on https://indore.bestinfra.app
2. Open Master Data → Consumer Data
3. Confirm title is Consumer Data and Advanced Filters is ON unless the case says otherwise
4. Note a DTR Code on a visible row (screenshot sample: MM521 / 34SO19)
5. Open DTR Dashboard at /dtr/{code} (click DTR Code if it is a link; otherwise copy the code and open the DTR individual page)
6. Read Power On, Power Off, Status</t>
  </si>
  <si>
    <t>Parity with DTR Overview rule: ON+OFF should explain status</t>
  </si>
  <si>
    <t>Values are numeric. If both ON and OFF can be true flags, Status matches. Silent contradiction (ON=0 OFF=0 but Status=On) is a fail.</t>
  </si>
  <si>
    <t>DTR Power On/Off vs Status</t>
  </si>
  <si>
    <t>IND-CMD-0115</t>
  </si>
  <si>
    <t>Capacity gauges</t>
  </si>
  <si>
    <t>Capacity gauges render and download</t>
  </si>
  <si>
    <t xml:space="preserve">1. Login as Super Admin on https://indore.bestinfra.app
2. Open Master Data → Consumer Data
3. Confirm title is Consumer Data and Advanced Filters is ON unless the case says otherwise
4. Note a DTR Code on a visible row (screenshot sample: MM521 / 34SO19)
5. Open DTR Dashboard at /dtr/{code} (click DTR Code if it is a link; otherwise copy the code and open the DTR individual page)
6. Scroll to capacity gauges
7. Click download if gauges have data</t>
  </si>
  <si>
    <t>CapacityGaugeSection</t>
  </si>
  <si>
    <t>Gauges match DTR Capacity from master data. Download works when data exists. Empty gauges do not crash.</t>
  </si>
  <si>
    <t>DTR capacity gauges</t>
  </si>
  <si>
    <t>17. CROSS-SCREEN PARITY — MASTER DATA ↔ CONSUMER DASHBOARD ↔ DTR DASHBOARD</t>
  </si>
  <si>
    <t>IND-CMD-0116</t>
  </si>
  <si>
    <t>Consumer Name + IVRS + Meter</t>
  </si>
  <si>
    <t>Master row, Consumer Dashboard, and DTR events share the same meter when linked</t>
  </si>
  <si>
    <t xml:space="preserve">1. Login as Super Admin on https://indore.bestinfra.app
2. Open Master Data → Consumer Data
3. Confirm title is Consumer Data and Advanced Filters is ON unless the case says otherwise
4. Pick Babulal Nandram
5. Note Meter SL No, DTR Code, IVRS
6. Open Consumer Dashboard — compare meter on Real-Time Power
7. Open that DTR Dashboard — confirm meter appears on DTR events or header if designed</t>
  </si>
  <si>
    <t>Screenshot baseline 09-Sep-2026 (use live values if different): IVRS N3968028469 · Meter 88017671 · DTR e.g. MM521</t>
  </si>
  <si>
    <t>IVRS and meter serial match across master row and Consumer Dashboard. DTR Dashboard is the DTR from the row. Mixing another consumer's meter is a fail.</t>
  </si>
  <si>
    <t>Meter/IVRS/DTR parity across screens</t>
  </si>
  <si>
    <t>IND-CMD-0117</t>
  </si>
  <si>
    <t>Hierarchy columns</t>
  </si>
  <si>
    <t>Circle / Division / Zone / Feeder on the row match profile on both dashboards</t>
  </si>
  <si>
    <t xml:space="preserve">1. Login as Super Admin on https://indore.bestinfra.app
2. Open Master Data → Consumer Data
3. Confirm title is Consumer Data and Advanced Filters is ON unless the case says otherwise
4. Note Circle, Division, Zone, Feeder Name, Feeder Code on a row
5. Open Consumer Profile and DTR header/profile</t>
  </si>
  <si>
    <t>Screenshot baseline 09-Sep-2026 (use live values if different): Indore City Circle · zones North/South/West/Central/East · feeders MM52 / 34SO</t>
  </si>
  <si>
    <t>Same hierarchy strings (or documented codes). Feeder Code on master equals feeder on DTR page.</t>
  </si>
  <si>
    <t>Hierarchy parity</t>
  </si>
  <si>
    <t>IND-CMD-0118</t>
  </si>
  <si>
    <t>Browser Back</t>
  </si>
  <si>
    <t>Back from Consumer Dashboard and from DTR Dashboard returns to Consumer Data with filters kept</t>
  </si>
  <si>
    <t xml:space="preserve">1. Login as Super Admin on https://indore.bestinfra.app
2. Open Master Data → Consumer Data
3. Confirm title is Consumer Data and Advanced Filters is ON unless the case says otherwise
4. Apply Offline + a search
5. Open Consumer Dashboard, Back
6. Open DTR Dashboard, Back</t>
  </si>
  <si>
    <t>Browser Back / in-app back</t>
  </si>
  <si>
    <t>Each Back returns to Consumer Data. Search and Offline are still applied. Not a full reset to 126743 unless the product documents otherwise (then fail against this pack's keep-filter rule).</t>
  </si>
  <si>
    <t>Back keeps filters</t>
  </si>
  <si>
    <t>IND-CMD-0119</t>
  </si>
  <si>
    <t>Period dropdowns</t>
  </si>
  <si>
    <t>Energy period options are the same set on Consumer and DTR dashboards</t>
  </si>
  <si>
    <t xml:space="preserve">1. Login as Super Admin on https://indore.bestinfra.app
2. Open Master Data → Consumer Data
3. Confirm title is Consumer Data and Advanced Filters is ON unless the case says otherwise
4. Search Babulal Nandram (or IVRS N3968028469)
5. Click View (eye) on the row to open Consumer Dashboard
6. Open Energy Consumption period menu, note items
7. Open the same DTR's Energy Consumption menu</t>
  </si>
  <si>
    <t>Hourly, Daily, Weekly, Monthly, Yearly</t>
  </si>
  <si>
    <t>Both dashboards offer the same five periods. Labels match. A missing Yearly on one side only is a fail.</t>
  </si>
  <si>
    <t>Period option parity</t>
  </si>
  <si>
    <t>IND-CMD-0120</t>
  </si>
  <si>
    <t>Smoke</t>
  </si>
  <si>
    <t>End-to-end path</t>
  </si>
  <si>
    <t>Smoke: list → filter → consumer dashboard widgets → DTR dashboard widgets → export</t>
  </si>
  <si>
    <t xml:space="preserve">1. Login as Super Admin on https://indore.bestinfra.app
2. Open Master Data → Consumer Data
3. Confirm title is Consumer Data and Advanced Filters is ON unless the case says otherwise
4. Search Babulal Nandram, Apply if needed
5. Open Consumer Dashboard, scroll KPIs, Real-Time, Energy Consumption, Energy Flow, Meter Events
6. Back, open that row's DTR Dashboard, scroll Real-Time, Energy, Events
7. Download once on each dashboard</t>
  </si>
  <si>
    <t>Single happy-path pass of the pack</t>
  </si>
  <si>
    <t>No blank page, no mixed consumer/DTR data, no download navigation. Any widget that is Data Unavailable must be defect-logged, not ignored.</t>
  </si>
  <si>
    <t>End-to-end smoke</t>
  </si>
  <si>
    <t>Screenshot baseline 09-Sep-2026 — use live UI values at execution; this sheet is the audit reference</t>
  </si>
  <si>
    <t>Note</t>
  </si>
  <si>
    <t>Check</t>
  </si>
  <si>
    <t>Pagination total</t>
  </si>
  <si>
    <t>Showing 1-10 of 126743</t>
  </si>
  <si>
    <t>Master total</t>
  </si>
  <si>
    <t>Page size</t>
  </si>
  <si>
    <t>Default</t>
  </si>
  <si>
    <t>Last page</t>
  </si>
  <si>
    <t>126743 / 10 = 12674.3 → 12675 pages</t>
  </si>
  <si>
    <t>Ceil</t>
  </si>
  <si>
    <t>Circle (visible rows)</t>
  </si>
  <si>
    <t>Indore City Circle</t>
  </si>
  <si>
    <t>All visible sample rows</t>
  </si>
  <si>
    <t>Pages check</t>
  </si>
  <si>
    <t>Must equal last page B7</t>
  </si>
  <si>
    <t>Anchor consumer (list → dashboard)</t>
  </si>
  <si>
    <t>Must match</t>
  </si>
  <si>
    <t>Consumer Name</t>
  </si>
  <si>
    <t>Babulal Nandram</t>
  </si>
  <si>
    <t>Grid row 1 / dashboard header</t>
  </si>
  <si>
    <t>Yes</t>
  </si>
  <si>
    <t>IVRS No.</t>
  </si>
  <si>
    <t>N3968028469</t>
  </si>
  <si>
    <t>Dashboard badge</t>
  </si>
  <si>
    <t>Consumer ID (sample)</t>
  </si>
  <si>
    <t>MML0000205</t>
  </si>
  <si>
    <t>Grid CID column (row 1 in shot)</t>
  </si>
  <si>
    <t>List vs profile</t>
  </si>
  <si>
    <t>Meter Sl No.</t>
  </si>
  <si>
    <t>Real-Time Power + Meter Events</t>
  </si>
  <si>
    <t>Connected</t>
  </si>
  <si>
    <t>Vs Connection Status filter</t>
  </si>
  <si>
    <t>DTR Code (sample)</t>
  </si>
  <si>
    <t>MM521 / 34SO19</t>
  </si>
  <si>
    <t>Grid DTR Code</t>
  </si>
  <si>
    <t>Opens /dtr/{code}</t>
  </si>
  <si>
    <t>Consumer Dashboard KPIs</t>
  </si>
  <si>
    <t>KPI</t>
  </si>
  <si>
    <t>Footer</t>
  </si>
  <si>
    <t>Maximum Demand (kVA)</t>
  </si>
  <si>
    <t>0.2 kVA</t>
  </si>
  <si>
    <t>Decimal</t>
  </si>
  <si>
    <t>Maximum Demand (kW)</t>
  </si>
  <si>
    <t>0.2 kW</t>
  </si>
  <si>
    <t>Neutral Current</t>
  </si>
  <si>
    <t>0.22 Amps</t>
  </si>
  <si>
    <t>Overall PF</t>
  </si>
  <si>
    <t>Negative allowed</t>
  </si>
  <si>
    <t>Frequency</t>
  </si>
  <si>
    <t>49.9 Hz</t>
  </si>
  <si>
    <t>Resolved Events</t>
  </si>
  <si>
    <t>No change vs last month</t>
  </si>
  <si>
    <t>Integer</t>
  </si>
  <si>
    <t>Pending Events</t>
  </si>
  <si>
    <t>Avg Resolution Time</t>
  </si>
  <si>
    <t>5m</t>
  </si>
  <si>
    <t>Duration</t>
  </si>
  <si>
    <t>Daily Consumption</t>
  </si>
  <si>
    <t>1.9</t>
  </si>
  <si>
    <t>Previous day: 1.9 kWh</t>
  </si>
  <si>
    <t>kWh</t>
  </si>
  <si>
    <t>Monthly Consumption</t>
  </si>
  <si>
    <t>57.15</t>
  </si>
  <si>
    <t>Last month: 74.37 kWh</t>
  </si>
  <si>
    <t>Total Outstanding</t>
  </si>
  <si>
    <t>₹0</t>
  </si>
  <si>
    <t>Current dues</t>
  </si>
  <si>
    <t>Currency</t>
  </si>
  <si>
    <t>Bill Status</t>
  </si>
  <si>
    <t>Unknown</t>
  </si>
  <si>
    <t>Current status</t>
  </si>
  <si>
    <t>String</t>
  </si>
  <si>
    <t>Resolved + Pending (snapshot events table)</t>
  </si>
  <si>
    <t>Must equal Meter Events total B44 if same window</t>
  </si>
  <si>
    <t>Real-Time / Live Load / Energy Flow</t>
  </si>
  <si>
    <t>R-Phase V / I / PF</t>
  </si>
  <si>
    <t>249.38 V · 0.22 A · -0.97</t>
  </si>
  <si>
    <t>Active phase</t>
  </si>
  <si>
    <t>PF sign matches KPI</t>
  </si>
  <si>
    <t>-- / -- / --</t>
  </si>
  <si>
    <t>1-phase</t>
  </si>
  <si>
    <t>Not 0.00</t>
  </si>
  <si>
    <t>Live Load Total</t>
  </si>
  <si>
    <t>Active 0.04 + Apparent 0.04 + Reactive 0</t>
  </si>
  <si>
    <t>Sum</t>
  </si>
  <si>
    <t>Meter Events rows</t>
  </si>
  <si>
    <t>Showing 1-5 of 5</t>
  </si>
  <si>
    <t>Restored 3 + Pending 2</t>
  </si>
  <si>
    <t>RT timestamp</t>
  </si>
  <si>
    <t>30 Nov 2025 11:45 PM</t>
  </si>
  <si>
    <t>Real-Time header</t>
  </si>
  <si>
    <t>DEF-CMD-001 if ≠ live load</t>
  </si>
  <si>
    <t>Live Load last comm</t>
  </si>
  <si>
    <t>1 Dec 2025 11:46 PM</t>
  </si>
  <si>
    <t>Live Load subtitle</t>
  </si>
  <si>
    <t>Live Load parts</t>
  </si>
  <si>
    <t>Must equal Live Load Total B43</t>
  </si>
  <si>
    <t>Ledger constraints</t>
  </si>
  <si>
    <t>Rule</t>
  </si>
  <si>
    <t>UI copy</t>
  </si>
  <si>
    <t>Fail if</t>
  </si>
  <si>
    <t>File type</t>
  </si>
  <si>
    <t>.xlsx only</t>
  </si>
  <si>
    <t>fileRequirementsLabel</t>
  </si>
  <si>
    <t>csv/pdf accepted</t>
  </si>
  <si>
    <t>Max size</t>
  </si>
  <si>
    <t>200 MB</t>
  </si>
  <si>
    <t>Larger file uploads</t>
  </si>
  <si>
    <t>Default mode</t>
  </si>
  <si>
    <t>Merge</t>
  </si>
  <si>
    <t>Blank cells do not preview a change</t>
  </si>
  <si>
    <t>Override default</t>
  </si>
  <si>
    <t>Validate</t>
  </si>
  <si>
    <t>No write</t>
  </si>
  <si>
    <t>Does not insert or update records</t>
  </si>
  <si>
    <t>Rows change before Approve</t>
  </si>
  <si>
    <t>Large file</t>
  </si>
  <si>
    <t>100,000+ rows</t>
  </si>
  <si>
    <t>Up to 30 minutes</t>
  </si>
  <si>
    <t>No progress / 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</si>
</sst>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7" x14ac:knownFonts="1">
    <font>
      <color theme="1"/>
      <family val="2"/>
      <scheme val="minor"/>
      <sz val="11"/>
      <name val="Calibri"/>
    </font>
    <font>
      <b/>
      <color rgb="FFFFFFFF"/>
      <sz val="18"/>
    </font>
    <font>
      <color rgb="FF000000"/>
      <sz val="10"/>
    </font>
    <font>
      <b/>
      <color rgb="FFFFFFFF"/>
      <sz val="11"/>
    </font>
    <font>
      <b/>
      <color rgb="FF1F4E78"/>
      <sz val="11"/>
    </font>
    <font>
      <b/>
      <color rgb="FF000000"/>
      <sz val="11"/>
    </font>
    <font>
      <b/>
      <color rgb="FFFFFFFF"/>
      <sz val="16"/>
    </font>
  </fonts>
  <fills count="13">
    <fill>
      <patternFill patternType="none"/>
    </fill>
    <fill>
      <patternFill patternType="gray125"/>
    </fill>
    <fill>
      <patternFill patternType="solid">
        <fgColor rgb="FF1F4E78"/>
      </patternFill>
    </fill>
    <fill>
      <patternFill patternType="solid">
        <fgColor rgb="FFD9E1F2"/>
      </patternFill>
    </fill>
    <fill>
      <patternFill patternType="solid">
        <fgColor rgb="FFFFFFFF"/>
      </patternFill>
    </fill>
    <fill>
      <patternFill patternType="solid">
        <fgColor rgb="FF0F6E6E"/>
      </patternFill>
    </fill>
    <fill>
      <patternFill patternType="solid">
        <fgColor rgb="FFF2F7FB"/>
      </patternFill>
    </fill>
    <fill>
      <patternFill patternType="solid">
        <fgColor rgb="FFFFF2CC"/>
      </patternFill>
    </fill>
    <fill>
      <patternFill patternType="solid">
        <fgColor rgb="FFC6EFCE"/>
      </patternFill>
    </fill>
    <fill>
      <patternFill patternType="solid">
        <fgColor rgb="FFFCE4D6"/>
      </patternFill>
    </fill>
    <fill>
      <patternFill patternType="solid">
        <fgColor rgb="FFF2F2F2"/>
      </patternFill>
    </fill>
    <fill>
      <patternFill patternType="solid">
        <fgColor rgb="FFFFC7CE"/>
      </patternFill>
    </fill>
    <fill>
      <patternFill patternType="solid">
        <fgColor rgb="FF2E75B6"/>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30">
    <xf numFmtId="0" fontId="0" fillId="0" borderId="0" xfId="0"/>
    <xf numFmtId="0" fontId="1" fillId="2" borderId="0" xfId="0" applyFont="1" applyFill="1" applyAlignment="1">
      <alignment horizontal="left" vertical="center"/>
    </xf>
    <xf numFmtId="0" fontId="2" fillId="3" borderId="1" xfId="0" applyFont="1" applyFill="1" applyBorder="1" applyAlignment="1">
      <alignment vertical="center" wrapText="1"/>
    </xf>
    <xf numFmtId="0" fontId="3" fillId="2" borderId="1" xfId="0" applyFont="1" applyFill="1" applyBorder="1" applyAlignment="1">
      <alignment vertical="center" wrapText="1"/>
    </xf>
    <xf numFmtId="0" fontId="4" fillId="3" borderId="1" xfId="0" applyFont="1" applyFill="1" applyBorder="1" applyAlignment="1">
      <alignment vertical="center" wrapText="1"/>
    </xf>
    <xf numFmtId="0" fontId="2" fillId="4" borderId="1" xfId="0" applyFont="1" applyFill="1" applyBorder="1" applyAlignment="1">
      <alignment vertical="center" wrapText="1"/>
    </xf>
    <xf numFmtId="0" fontId="3" fillId="5"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5" fillId="8" borderId="1" xfId="0" applyFont="1" applyFill="1" applyBorder="1" applyAlignment="1">
      <alignment vertical="center" wrapText="1"/>
    </xf>
    <xf numFmtId="0" fontId="2" fillId="8" borderId="1" xfId="0" applyFont="1" applyFill="1" applyBorder="1" applyAlignment="1">
      <alignment vertical="center" wrapText="1"/>
    </xf>
    <xf numFmtId="0" fontId="5" fillId="4" borderId="1" xfId="0" applyFont="1" applyFill="1" applyBorder="1" applyAlignment="1">
      <alignment vertical="center" wrapText="1"/>
    </xf>
    <xf numFmtId="0" fontId="5" fillId="9" borderId="1" xfId="0" applyFont="1" applyFill="1" applyBorder="1" applyAlignment="1">
      <alignment vertical="center" wrapText="1"/>
    </xf>
    <xf numFmtId="0" fontId="2" fillId="9" borderId="1" xfId="0" applyFont="1" applyFill="1" applyBorder="1" applyAlignment="1">
      <alignment vertical="center" wrapText="1"/>
    </xf>
    <xf numFmtId="0" fontId="5" fillId="10" borderId="1" xfId="0" applyFont="1" applyFill="1" applyBorder="1" applyAlignment="1">
      <alignment vertical="center" wrapText="1"/>
    </xf>
    <xf numFmtId="0" fontId="2" fillId="10" borderId="1" xfId="0" applyFont="1" applyFill="1" applyBorder="1" applyAlignment="1">
      <alignment vertical="center" wrapText="1"/>
    </xf>
    <xf numFmtId="0" fontId="3" fillId="2"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3" fontId="2" fillId="6" borderId="1" xfId="0" applyNumberFormat="1" applyFont="1" applyFill="1" applyBorder="1" applyAlignment="1">
      <alignment horizontal="right" vertical="center"/>
    </xf>
    <xf numFmtId="3" fontId="2" fillId="4" borderId="1" xfId="0" applyNumberFormat="1" applyFont="1" applyFill="1" applyBorder="1" applyAlignment="1">
      <alignment horizontal="right" vertical="center"/>
    </xf>
    <xf numFmtId="0" fontId="6" fillId="2" borderId="0" xfId="0" applyFont="1" applyFill="1" applyAlignment="1">
      <alignment vertical="center"/>
    </xf>
    <xf numFmtId="0" fontId="3" fillId="11" borderId="1" xfId="0" applyFont="1" applyFill="1" applyBorder="1" applyAlignment="1">
      <alignment vertical="center" wrapText="1"/>
    </xf>
    <xf numFmtId="0" fontId="5" fillId="7" borderId="1" xfId="0" applyFont="1" applyFill="1" applyBorder="1" applyAlignment="1">
      <alignment horizontal="center" vertical="center"/>
    </xf>
    <xf numFmtId="164" fontId="2" fillId="9" borderId="1" xfId="0" applyNumberFormat="1" applyFont="1" applyFill="1" applyBorder="1" applyAlignment="1">
      <alignment vertical="center" wrapText="1"/>
    </xf>
    <xf numFmtId="0" fontId="3" fillId="12" borderId="1" xfId="0" applyFont="1" applyFill="1" applyBorder="1" applyAlignment="1">
      <alignment vertical="center" wrapText="1"/>
    </xf>
    <xf numFmtId="3" fontId="2" fillId="4" borderId="1" xfId="0" applyNumberFormat="1" applyFont="1" applyFill="1" applyBorder="1" applyAlignment="1">
      <alignment vertical="center" wrapText="1"/>
    </xf>
    <xf numFmtId="3" fontId="2" fillId="7" borderId="1" xfId="0" applyNumberFormat="1" applyFont="1" applyFill="1" applyBorder="1" applyAlignment="1">
      <alignment vertical="center" wrapText="1"/>
    </xf>
  </cellXfs>
  <cellStyles count="1">
    <cellStyle name="Normal" xfId="0" builtinId="0"/>
  </cellStyles>
  <dxfs count="20">
    <dxf>
      <fill>
        <patternFill patternType="solid">
          <bgColor rgb="FFC6EFCE"/>
        </patternFill>
      </fill>
    </dxf>
    <dxf>
      <fill>
        <patternFill patternType="solid">
          <bgColor rgb="FFFCE4D6"/>
        </patternFill>
      </fill>
    </dxf>
    <dxf>
      <fill>
        <patternFill patternType="solid">
          <bgColor rgb="FFFFF2CC"/>
        </patternFill>
      </fill>
    </dxf>
    <dxf>
      <fill>
        <patternFill patternType="solid">
          <bgColor rgb="FFC6EFCE"/>
        </patternFill>
      </fill>
    </dxf>
    <dxf>
      <fill>
        <patternFill patternType="solid">
          <bgColor rgb="FFD9E1F2"/>
        </patternFill>
      </fill>
    </dxf>
    <dxf>
      <fill>
        <patternFill patternType="solid">
          <bgColor rgb="FFFFC7CE"/>
        </patternFill>
      </fill>
    </dxf>
    <dxf>
      <fill>
        <patternFill patternType="solid">
          <bgColor rgb="FFFCE4D6"/>
        </patternFill>
      </fill>
    </dxf>
    <dxf>
      <fill>
        <patternFill patternType="solid">
          <bgColor rgb="FFFFF2CC"/>
        </patternFill>
      </fill>
    </dxf>
    <dxf>
      <fill>
        <patternFill patternType="solid">
          <bgColor rgb="FFC6EFCE"/>
        </patternFill>
      </fill>
    </dxf>
    <dxf>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rgb="FFFCE4D6"/>
        </patternFill>
      </fill>
    </dxf>
    <dxf>
      <fill>
        <patternFill patternType="solid">
          <bgColor rgb="FFF2F2F2"/>
        </patternFill>
      </fill>
    </dxf>
    <dxf>
      <fill>
        <patternFill patternType="solid">
          <bgColor rgb="FFFFC7CE"/>
        </patternFill>
      </fill>
    </dxf>
    <dxf>
      <fill>
        <patternFill patternType="solid">
          <bgColor rgb="FFC6EFCE"/>
        </patternFill>
      </fill>
    </dxf>
    <dxf>
      <fill>
        <patternFill patternType="solid">
          <bgColor rgb="FFFFF2CC"/>
        </patternFill>
      </fill>
    </dxf>
    <dxf>
      <fill>
        <patternFill patternType="solid">
          <bgColor rgb="FFFCE4D6"/>
        </patternFill>
      </fill>
    </dxf>
    <dxf>
      <fill>
        <patternFill patternType="solid">
          <bgColor rgb="FFF2F2F2"/>
        </patternFill>
      </fill>
    </dxf>
    <dxf>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5"/>
  <sheetViews>
    <sheetView workbookViewId="0" showGridLines="0"/>
  </sheetViews>
  <sheetFormatPr defaultRowHeight="15" outlineLevelRow="0" outlineLevelCol="0" x14ac:dyDescent="55"/>
  <cols>
    <col min="1" max="2" width="28" customWidth="1"/>
    <col min="3" max="7" width="18" customWidth="1"/>
  </cols>
  <sheetData>
    <row r="1" ht="32" customHeight="1" spans="1:7" x14ac:dyDescent="0.25">
      <c r="A1" s="1" t="s">
        <v>0</v>
      </c>
      <c r="B1" s="1"/>
      <c r="C1" s="1"/>
      <c r="D1" s="1"/>
      <c r="E1" s="1"/>
      <c r="F1" s="1"/>
      <c r="G1" s="1"/>
    </row>
    <row r="2" ht="22" customHeight="1" spans="1:7" x14ac:dyDescent="0.25">
      <c r="A2" s="2" t="s">
        <v>1</v>
      </c>
      <c r="B2" s="2"/>
      <c r="C2" s="2"/>
      <c r="D2" s="2"/>
      <c r="E2" s="2"/>
      <c r="F2" s="2"/>
      <c r="G2" s="2"/>
    </row>
    <row r="4" ht="22" customHeight="1" spans="1:7" x14ac:dyDescent="0.25">
      <c r="A4" s="3" t="s">
        <v>2</v>
      </c>
      <c r="B4" s="3" t="s">
        <v>3</v>
      </c>
      <c r="C4" s="3"/>
      <c r="D4" s="3"/>
      <c r="E4" s="3"/>
      <c r="F4" s="3"/>
      <c r="G4" s="3"/>
    </row>
    <row r="5" ht="36" customHeight="1" spans="1:7" x14ac:dyDescent="0.25">
      <c r="A5" s="4" t="s">
        <v>4</v>
      </c>
      <c r="B5" s="5" t="s">
        <v>5</v>
      </c>
      <c r="C5" s="5"/>
      <c r="D5" s="5"/>
      <c r="E5" s="5"/>
      <c r="F5" s="5"/>
      <c r="G5" s="5"/>
    </row>
    <row r="6" ht="36" customHeight="1" spans="1:7" x14ac:dyDescent="0.25">
      <c r="A6" s="4" t="s">
        <v>6</v>
      </c>
      <c r="B6" s="5" t="s">
        <v>7</v>
      </c>
      <c r="C6" s="5"/>
      <c r="D6" s="5"/>
      <c r="E6" s="5"/>
      <c r="F6" s="5"/>
      <c r="G6" s="5"/>
    </row>
    <row r="7" ht="36" customHeight="1" spans="1:7" x14ac:dyDescent="0.25">
      <c r="A7" s="4" t="s">
        <v>8</v>
      </c>
      <c r="B7" s="5" t="s">
        <v>9</v>
      </c>
      <c r="C7" s="5"/>
      <c r="D7" s="5"/>
      <c r="E7" s="5"/>
      <c r="F7" s="5"/>
      <c r="G7" s="5"/>
    </row>
    <row r="8" ht="36" customHeight="1" spans="1:7" x14ac:dyDescent="0.25">
      <c r="A8" s="4" t="s">
        <v>10</v>
      </c>
      <c r="B8" s="5" t="s">
        <v>11</v>
      </c>
      <c r="C8" s="5"/>
      <c r="D8" s="5"/>
      <c r="E8" s="5"/>
      <c r="F8" s="5"/>
      <c r="G8" s="5"/>
    </row>
    <row r="9" ht="36" customHeight="1" spans="1:7" x14ac:dyDescent="0.25">
      <c r="A9" s="4" t="s">
        <v>12</v>
      </c>
      <c r="B9" s="5" t="s">
        <v>13</v>
      </c>
      <c r="C9" s="5"/>
      <c r="D9" s="5"/>
      <c r="E9" s="5"/>
      <c r="F9" s="5"/>
      <c r="G9" s="5"/>
    </row>
    <row r="10" ht="36" customHeight="1" spans="1:7" x14ac:dyDescent="0.25">
      <c r="A10" s="4" t="s">
        <v>14</v>
      </c>
      <c r="B10" s="5" t="s">
        <v>15</v>
      </c>
      <c r="C10" s="5"/>
      <c r="D10" s="5"/>
      <c r="E10" s="5"/>
      <c r="F10" s="5"/>
      <c r="G10" s="5"/>
    </row>
    <row r="11" ht="36" customHeight="1" spans="1:7" x14ac:dyDescent="0.25">
      <c r="A11" s="4" t="s">
        <v>16</v>
      </c>
      <c r="B11" s="5" t="s">
        <v>17</v>
      </c>
      <c r="C11" s="5"/>
      <c r="D11" s="5"/>
      <c r="E11" s="5"/>
      <c r="F11" s="5"/>
      <c r="G11" s="5"/>
    </row>
    <row r="12" ht="36" customHeight="1" spans="1:7" x14ac:dyDescent="0.25">
      <c r="A12" s="4" t="s">
        <v>18</v>
      </c>
      <c r="B12" s="5">
        <v>120</v>
      </c>
      <c r="C12" s="5"/>
      <c r="D12" s="5"/>
      <c r="E12" s="5"/>
      <c r="F12" s="5"/>
      <c r="G12" s="5"/>
    </row>
    <row r="13" ht="36" customHeight="1" spans="1:7" x14ac:dyDescent="0.25">
      <c r="A13" s="4" t="s">
        <v>19</v>
      </c>
      <c r="B13" s="5" t="s">
        <v>20</v>
      </c>
      <c r="C13" s="5"/>
      <c r="D13" s="5"/>
      <c r="E13" s="5"/>
      <c r="F13" s="5"/>
      <c r="G13" s="5"/>
    </row>
    <row r="14" ht="36" customHeight="1" spans="1:7" x14ac:dyDescent="0.25">
      <c r="A14" s="4" t="s">
        <v>21</v>
      </c>
      <c r="B14" s="5" t="s">
        <v>22</v>
      </c>
      <c r="C14" s="5"/>
      <c r="D14" s="5"/>
      <c r="E14" s="5"/>
      <c r="F14" s="5"/>
      <c r="G14" s="5"/>
    </row>
    <row r="15" ht="36" customHeight="1" spans="1:7" x14ac:dyDescent="0.25">
      <c r="A15" s="4" t="s">
        <v>23</v>
      </c>
      <c r="B15" s="5" t="s">
        <v>24</v>
      </c>
      <c r="C15" s="5"/>
      <c r="D15" s="5"/>
      <c r="E15" s="5"/>
      <c r="F15" s="5"/>
      <c r="G15" s="5"/>
    </row>
    <row r="16" ht="36" customHeight="1" spans="1:7" x14ac:dyDescent="0.25">
      <c r="A16" s="4" t="s">
        <v>25</v>
      </c>
      <c r="B16" s="5" t="s">
        <v>26</v>
      </c>
      <c r="C16" s="5"/>
      <c r="D16" s="5"/>
      <c r="E16" s="5"/>
      <c r="F16" s="5"/>
      <c r="G16" s="5"/>
    </row>
    <row r="18" ht="22" customHeight="1" spans="1:7" x14ac:dyDescent="0.25">
      <c r="A18" s="6" t="s">
        <v>27</v>
      </c>
      <c r="B18" s="6"/>
      <c r="C18" s="6"/>
      <c r="D18" s="6"/>
      <c r="E18" s="6"/>
      <c r="F18" s="6"/>
      <c r="G18" s="6"/>
    </row>
    <row r="19" ht="28" customHeight="1" spans="1:7" x14ac:dyDescent="0.25">
      <c r="A19" s="7" t="s">
        <v>28</v>
      </c>
      <c r="B19" s="7"/>
      <c r="C19" s="7"/>
      <c r="D19" s="7"/>
      <c r="E19" s="7"/>
      <c r="F19" s="7"/>
      <c r="G19" s="7"/>
    </row>
    <row r="20" ht="28" customHeight="1" spans="1:7" x14ac:dyDescent="0.25">
      <c r="A20" s="5" t="s">
        <v>29</v>
      </c>
      <c r="B20" s="5"/>
      <c r="C20" s="5"/>
      <c r="D20" s="5"/>
      <c r="E20" s="5"/>
      <c r="F20" s="5"/>
      <c r="G20" s="5"/>
    </row>
    <row r="21" ht="28" customHeight="1" spans="1:7" x14ac:dyDescent="0.25">
      <c r="A21" s="7" t="s">
        <v>30</v>
      </c>
      <c r="B21" s="7"/>
      <c r="C21" s="7"/>
      <c r="D21" s="7"/>
      <c r="E21" s="7"/>
      <c r="F21" s="7"/>
      <c r="G21" s="7"/>
    </row>
    <row r="22" ht="28" customHeight="1" spans="1:7" x14ac:dyDescent="0.25">
      <c r="A22" s="5" t="s">
        <v>31</v>
      </c>
      <c r="B22" s="5"/>
      <c r="C22" s="5"/>
      <c r="D22" s="5"/>
      <c r="E22" s="5"/>
      <c r="F22" s="5"/>
      <c r="G22" s="5"/>
    </row>
    <row r="23" ht="28" customHeight="1" spans="1:7" x14ac:dyDescent="0.25">
      <c r="A23" s="7" t="s">
        <v>32</v>
      </c>
      <c r="B23" s="7"/>
      <c r="C23" s="7"/>
      <c r="D23" s="7"/>
      <c r="E23" s="7"/>
      <c r="F23" s="7"/>
      <c r="G23" s="7"/>
    </row>
    <row r="24" ht="28" customHeight="1" spans="1:7" x14ac:dyDescent="0.25">
      <c r="A24" s="5" t="s">
        <v>33</v>
      </c>
      <c r="B24" s="5"/>
      <c r="C24" s="5"/>
      <c r="D24" s="5"/>
      <c r="E24" s="5"/>
      <c r="F24" s="5"/>
      <c r="G24" s="5"/>
    </row>
    <row r="25" ht="28" customHeight="1" spans="1:7" x14ac:dyDescent="0.25">
      <c r="A25" s="7" t="s">
        <v>34</v>
      </c>
      <c r="B25" s="7"/>
      <c r="C25" s="7"/>
      <c r="D25" s="7"/>
      <c r="E25" s="7"/>
      <c r="F25" s="7"/>
      <c r="G25" s="7"/>
    </row>
    <row r="26" ht="28" customHeight="1" spans="1:7" x14ac:dyDescent="0.25">
      <c r="A26" s="5" t="s">
        <v>35</v>
      </c>
      <c r="B26" s="5"/>
      <c r="C26" s="5"/>
      <c r="D26" s="5"/>
      <c r="E26" s="5"/>
      <c r="F26" s="5"/>
      <c r="G26" s="5"/>
    </row>
    <row r="28" spans="1:7" x14ac:dyDescent="0.25">
      <c r="A28" s="6" t="s">
        <v>36</v>
      </c>
      <c r="B28" s="6"/>
      <c r="C28" s="6"/>
      <c r="D28" s="6"/>
      <c r="E28" s="6"/>
      <c r="F28" s="6"/>
      <c r="G28" s="6"/>
    </row>
    <row r="29" ht="28" customHeight="1" spans="1:7" x14ac:dyDescent="0.25">
      <c r="A29" s="3" t="s">
        <v>37</v>
      </c>
      <c r="B29" s="3" t="s">
        <v>38</v>
      </c>
      <c r="C29" s="3" t="s">
        <v>39</v>
      </c>
      <c r="D29" s="3"/>
      <c r="E29" s="3"/>
      <c r="F29" s="3"/>
      <c r="G29" s="3"/>
    </row>
    <row r="30" ht="28" customHeight="1" spans="1:7" x14ac:dyDescent="0.25">
      <c r="A30" s="5" t="s">
        <v>40</v>
      </c>
      <c r="B30" s="5" t="s">
        <v>41</v>
      </c>
      <c r="C30" s="5" t="s">
        <v>42</v>
      </c>
      <c r="D30" s="5"/>
      <c r="E30" s="5"/>
      <c r="F30" s="5"/>
      <c r="G30" s="5"/>
    </row>
    <row r="31" ht="28" customHeight="1" spans="1:7" x14ac:dyDescent="0.25">
      <c r="A31" s="7" t="s">
        <v>43</v>
      </c>
      <c r="B31" s="7" t="s">
        <v>44</v>
      </c>
      <c r="C31" s="7" t="s">
        <v>45</v>
      </c>
      <c r="D31" s="7"/>
      <c r="E31" s="7"/>
      <c r="F31" s="7"/>
      <c r="G31" s="7"/>
    </row>
    <row r="32" ht="28" customHeight="1" spans="1:7" x14ac:dyDescent="0.25">
      <c r="A32" s="5" t="s">
        <v>46</v>
      </c>
      <c r="B32" s="5" t="s">
        <v>47</v>
      </c>
      <c r="C32" s="5" t="s">
        <v>48</v>
      </c>
      <c r="D32" s="5"/>
      <c r="E32" s="5"/>
      <c r="F32" s="5"/>
      <c r="G32" s="5"/>
    </row>
    <row r="33" ht="28" customHeight="1" spans="1:7" x14ac:dyDescent="0.25">
      <c r="A33" s="7" t="s">
        <v>49</v>
      </c>
      <c r="B33" s="7" t="s">
        <v>50</v>
      </c>
      <c r="C33" s="7" t="s">
        <v>51</v>
      </c>
      <c r="D33" s="7"/>
      <c r="E33" s="7"/>
      <c r="F33" s="7"/>
      <c r="G33" s="7"/>
    </row>
    <row r="34" ht="28" customHeight="1" spans="1:7" x14ac:dyDescent="0.25">
      <c r="A34" s="5" t="s">
        <v>52</v>
      </c>
      <c r="B34" s="5" t="s">
        <v>53</v>
      </c>
      <c r="C34" s="5" t="s">
        <v>54</v>
      </c>
      <c r="D34" s="5"/>
      <c r="E34" s="5"/>
      <c r="F34" s="5"/>
      <c r="G34" s="5"/>
    </row>
    <row r="35" ht="28" customHeight="1" spans="1:7" x14ac:dyDescent="0.25">
      <c r="A35" s="7" t="s">
        <v>55</v>
      </c>
      <c r="B35" s="7" t="s">
        <v>56</v>
      </c>
      <c r="C35" s="7" t="s">
        <v>57</v>
      </c>
      <c r="D35" s="7"/>
      <c r="E35" s="7"/>
      <c r="F35" s="7"/>
      <c r="G35" s="7"/>
    </row>
  </sheetData>
  <mergeCells count="32">
    <mergeCell ref="A1:G1"/>
    <mergeCell ref="A2:G2"/>
    <mergeCell ref="B4:G4"/>
    <mergeCell ref="B5:G5"/>
    <mergeCell ref="B6:G6"/>
    <mergeCell ref="B7:G7"/>
    <mergeCell ref="B8:G8"/>
    <mergeCell ref="B9:G9"/>
    <mergeCell ref="B10:G10"/>
    <mergeCell ref="B11:G11"/>
    <mergeCell ref="B12:G12"/>
    <mergeCell ref="B13:G13"/>
    <mergeCell ref="B14:G14"/>
    <mergeCell ref="B15:G15"/>
    <mergeCell ref="B16:G16"/>
    <mergeCell ref="A18:G18"/>
    <mergeCell ref="A19:G19"/>
    <mergeCell ref="A20:G20"/>
    <mergeCell ref="A21:G21"/>
    <mergeCell ref="A22:G22"/>
    <mergeCell ref="A23:G23"/>
    <mergeCell ref="A24:G24"/>
    <mergeCell ref="A25:G25"/>
    <mergeCell ref="A26:G26"/>
    <mergeCell ref="A28:G28"/>
    <mergeCell ref="C29:G29"/>
    <mergeCell ref="C30:G30"/>
    <mergeCell ref="C31:G31"/>
    <mergeCell ref="C32:G32"/>
    <mergeCell ref="C33:G33"/>
    <mergeCell ref="C34:G34"/>
    <mergeCell ref="C35:G35"/>
  </mergeCells>
  <pageMargins left="0.7" right="0.7" top="0.75" bottom="0.75" header="0.3" footer="0.3"/>
  <pageSetup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9"/>
  <sheetViews>
    <sheetView workbookViewId="0" showGridLines="0">
      <pane ySplit="6" topLeftCell="A7" activePane="bottomLeft" state="frozen"/>
      <selection pane="bottomLeft"/>
    </sheetView>
  </sheetViews>
  <sheetFormatPr defaultRowHeight="15" outlineLevelRow="0" outlineLevelCol="0" x14ac:dyDescent="55"/>
  <cols>
    <col min="1" max="1" width="36" customWidth="1"/>
    <col min="2" max="2" width="22" customWidth="1"/>
    <col min="3" max="3" width="42" customWidth="1"/>
    <col min="4" max="4" width="48" customWidth="1"/>
    <col min="5" max="5" width="42" customWidth="1"/>
    <col min="6" max="6" width="22" customWidth="1"/>
    <col min="7" max="7" width="48" customWidth="1"/>
  </cols>
  <sheetData>
    <row r="1" ht="28" customHeight="1" spans="1:7" x14ac:dyDescent="0.25">
      <c r="A1" s="3" t="s">
        <v>58</v>
      </c>
      <c r="B1" s="3"/>
      <c r="C1" s="3"/>
      <c r="D1" s="3"/>
      <c r="E1" s="3"/>
      <c r="F1" s="3"/>
      <c r="G1" s="3"/>
    </row>
    <row r="2" ht="32" customHeight="1" spans="1:7" x14ac:dyDescent="0.25">
      <c r="A2" s="8" t="s">
        <v>59</v>
      </c>
      <c r="B2" s="8"/>
      <c r="C2" s="8"/>
      <c r="D2" s="8"/>
      <c r="E2" s="8"/>
      <c r="F2" s="8"/>
      <c r="G2" s="8"/>
    </row>
    <row r="4" spans="1:5" x14ac:dyDescent="0.25">
      <c r="A4" s="6" t="s">
        <v>60</v>
      </c>
      <c r="B4" s="6"/>
      <c r="C4" s="6"/>
      <c r="D4" s="6"/>
      <c r="E4" s="6"/>
    </row>
    <row r="5" ht="22" customHeight="1" spans="1:7" x14ac:dyDescent="0.25">
      <c r="A5" s="3" t="s">
        <v>61</v>
      </c>
      <c r="B5" s="3" t="s">
        <v>62</v>
      </c>
      <c r="C5" s="3" t="s">
        <v>63</v>
      </c>
      <c r="D5" s="3"/>
      <c r="E5" s="3"/>
      <c r="F5" s="3"/>
      <c r="G5" s="3"/>
    </row>
    <row r="6" ht="22" customHeight="1" spans="1:7" x14ac:dyDescent="0.25">
      <c r="A6" s="9" t="s">
        <v>64</v>
      </c>
      <c r="B6" s="10">
        <f>COUNTIF('TEST-CASES'!M8:M400,"Automated (API)")</f>
      </c>
      <c r="C6" s="10" t="s">
        <v>65</v>
      </c>
      <c r="D6" s="10"/>
      <c r="E6" s="10"/>
      <c r="F6" s="10"/>
      <c r="G6" s="10"/>
    </row>
    <row r="7" ht="22" customHeight="1" spans="1:7" x14ac:dyDescent="0.25">
      <c r="A7" s="11" t="s">
        <v>66</v>
      </c>
      <c r="B7" s="5">
        <f>COUNTIF('TEST-CASES'!M8:M400,"Partial")</f>
      </c>
      <c r="C7" s="5" t="s">
        <v>67</v>
      </c>
      <c r="D7" s="5"/>
      <c r="E7" s="5"/>
      <c r="F7" s="5"/>
      <c r="G7" s="5"/>
    </row>
    <row r="8" ht="22" customHeight="1" spans="1:7" x14ac:dyDescent="0.25">
      <c r="A8" s="12" t="s">
        <v>68</v>
      </c>
      <c r="B8" s="13">
        <f>COUNTIF('TEST-CASES'!M8:M400,"Gap (API)")</f>
      </c>
      <c r="C8" s="13" t="s">
        <v>69</v>
      </c>
      <c r="D8" s="13"/>
      <c r="E8" s="13"/>
      <c r="F8" s="13"/>
      <c r="G8" s="13"/>
    </row>
    <row r="9" ht="22" customHeight="1" spans="1:7" x14ac:dyDescent="0.25">
      <c r="A9" s="14" t="s">
        <v>70</v>
      </c>
      <c r="B9" s="15">
        <f>COUNTIF('TEST-CASES'!M8:M400,"Gap (UI)")</f>
      </c>
      <c r="C9" s="15" t="s">
        <v>71</v>
      </c>
      <c r="D9" s="15"/>
      <c r="E9" s="15"/>
      <c r="F9" s="15"/>
      <c r="G9" s="15"/>
    </row>
    <row r="10" ht="22" customHeight="1" spans="1:7" x14ac:dyDescent="0.25">
      <c r="A10" s="11" t="s">
        <v>72</v>
      </c>
      <c r="B10" s="5">
        <f>B6+B7+B8+B9</f>
      </c>
      <c r="C10" s="5" t="s">
        <v>73</v>
      </c>
      <c r="D10" s="5"/>
      <c r="E10" s="5"/>
      <c r="F10" s="5"/>
      <c r="G10" s="5"/>
    </row>
    <row r="13" spans="1:7" x14ac:dyDescent="0.25">
      <c r="A13" s="6" t="s">
        <v>74</v>
      </c>
      <c r="B13" s="6"/>
      <c r="C13" s="6"/>
      <c r="D13" s="6"/>
      <c r="E13" s="6"/>
      <c r="F13" s="6"/>
      <c r="G13" s="6"/>
    </row>
    <row r="14" ht="28" customHeight="1" spans="1:7" x14ac:dyDescent="0.25">
      <c r="A14" s="16" t="s">
        <v>75</v>
      </c>
      <c r="B14" s="16" t="s">
        <v>76</v>
      </c>
      <c r="C14" s="16" t="s">
        <v>77</v>
      </c>
      <c r="D14" s="16" t="s">
        <v>78</v>
      </c>
      <c r="E14" s="16" t="s">
        <v>79</v>
      </c>
      <c r="F14" s="16" t="s">
        <v>80</v>
      </c>
      <c r="G14" s="16" t="s">
        <v>81</v>
      </c>
    </row>
    <row r="15" ht="42" customHeight="1" spans="1:7" x14ac:dyDescent="0.25">
      <c r="A15" s="7" t="s">
        <v>82</v>
      </c>
      <c r="B15" s="7" t="s">
        <v>83</v>
      </c>
      <c r="C15" s="7" t="s">
        <v>84</v>
      </c>
      <c r="D15" s="7" t="s">
        <v>85</v>
      </c>
      <c r="E15" s="7" t="s">
        <v>86</v>
      </c>
      <c r="F15" s="7" t="s">
        <v>66</v>
      </c>
      <c r="G15" s="7" t="s">
        <v>87</v>
      </c>
    </row>
    <row r="16" ht="42" customHeight="1" spans="1:7" x14ac:dyDescent="0.25">
      <c r="A16" s="5" t="s">
        <v>88</v>
      </c>
      <c r="B16" s="5" t="s">
        <v>89</v>
      </c>
      <c r="C16" s="5" t="s">
        <v>90</v>
      </c>
      <c r="D16" s="5" t="s">
        <v>84</v>
      </c>
      <c r="E16" s="5" t="s">
        <v>86</v>
      </c>
      <c r="F16" s="5" t="s">
        <v>66</v>
      </c>
      <c r="G16" s="5" t="s">
        <v>91</v>
      </c>
    </row>
    <row r="17" ht="42" customHeight="1" spans="1:7" x14ac:dyDescent="0.25">
      <c r="A17" s="7" t="s">
        <v>92</v>
      </c>
      <c r="B17" s="7" t="s">
        <v>93</v>
      </c>
      <c r="C17" s="7" t="s">
        <v>94</v>
      </c>
      <c r="D17" s="7" t="s">
        <v>95</v>
      </c>
      <c r="E17" s="7" t="s">
        <v>96</v>
      </c>
      <c r="F17" s="7" t="s">
        <v>66</v>
      </c>
      <c r="G17" s="7" t="s">
        <v>97</v>
      </c>
    </row>
    <row r="18" ht="42" customHeight="1" spans="1:7" x14ac:dyDescent="0.25">
      <c r="A18" s="5" t="s">
        <v>98</v>
      </c>
      <c r="B18" s="5" t="s">
        <v>99</v>
      </c>
      <c r="C18" s="5" t="s">
        <v>100</v>
      </c>
      <c r="D18" s="5" t="s">
        <v>101</v>
      </c>
      <c r="E18" s="5" t="s">
        <v>102</v>
      </c>
      <c r="F18" s="5" t="s">
        <v>68</v>
      </c>
      <c r="G18" s="5" t="s">
        <v>103</v>
      </c>
    </row>
    <row r="19" ht="42" customHeight="1" spans="1:7" x14ac:dyDescent="0.25">
      <c r="A19" s="7" t="s">
        <v>46</v>
      </c>
      <c r="B19" s="7" t="s">
        <v>104</v>
      </c>
      <c r="C19" s="7" t="s">
        <v>105</v>
      </c>
      <c r="D19" s="7" t="s">
        <v>105</v>
      </c>
      <c r="E19" s="7" t="s">
        <v>105</v>
      </c>
      <c r="F19" s="7" t="s">
        <v>70</v>
      </c>
      <c r="G19" s="7" t="s">
        <v>106</v>
      </c>
    </row>
    <row r="20" ht="42" customHeight="1" spans="1:7" x14ac:dyDescent="0.25">
      <c r="A20" s="5" t="s">
        <v>49</v>
      </c>
      <c r="B20" s="5" t="s">
        <v>107</v>
      </c>
      <c r="C20" s="5" t="s">
        <v>108</v>
      </c>
      <c r="D20" s="5" t="s">
        <v>109</v>
      </c>
      <c r="E20" s="5" t="s">
        <v>110</v>
      </c>
      <c r="F20" s="5" t="s">
        <v>70</v>
      </c>
      <c r="G20" s="5" t="s">
        <v>111</v>
      </c>
    </row>
    <row r="21" ht="42" customHeight="1" spans="1:7" x14ac:dyDescent="0.25">
      <c r="A21" s="7" t="s">
        <v>52</v>
      </c>
      <c r="B21" s="7" t="s">
        <v>112</v>
      </c>
      <c r="C21" s="7" t="s">
        <v>113</v>
      </c>
      <c r="D21" s="7" t="s">
        <v>114</v>
      </c>
      <c r="E21" s="7" t="s">
        <v>115</v>
      </c>
      <c r="F21" s="7" t="s">
        <v>70</v>
      </c>
      <c r="G21" s="7" t="s">
        <v>116</v>
      </c>
    </row>
    <row r="22" ht="42" customHeight="1" spans="1:7" x14ac:dyDescent="0.25">
      <c r="A22" s="5" t="s">
        <v>117</v>
      </c>
      <c r="B22" s="5" t="s">
        <v>118</v>
      </c>
      <c r="C22" s="5" t="s">
        <v>119</v>
      </c>
      <c r="D22" s="5" t="s">
        <v>120</v>
      </c>
      <c r="E22" s="5" t="s">
        <v>105</v>
      </c>
      <c r="F22" s="5" t="s">
        <v>70</v>
      </c>
      <c r="G22" s="5" t="s">
        <v>121</v>
      </c>
    </row>
    <row r="23" ht="42" customHeight="1" spans="1:7" x14ac:dyDescent="0.25">
      <c r="A23" s="7" t="s">
        <v>122</v>
      </c>
      <c r="B23" s="7" t="s">
        <v>123</v>
      </c>
      <c r="C23" s="7" t="s">
        <v>124</v>
      </c>
      <c r="D23" s="7" t="s">
        <v>125</v>
      </c>
      <c r="E23" s="7" t="s">
        <v>105</v>
      </c>
      <c r="F23" s="7" t="s">
        <v>70</v>
      </c>
      <c r="G23" s="7" t="s">
        <v>126</v>
      </c>
    </row>
    <row r="26" spans="1:7" x14ac:dyDescent="0.25">
      <c r="A26" s="6" t="s">
        <v>127</v>
      </c>
      <c r="B26" s="6"/>
      <c r="C26" s="6"/>
      <c r="D26" s="6"/>
      <c r="E26" s="6"/>
      <c r="F26" s="6"/>
      <c r="G26" s="6"/>
    </row>
    <row r="27" spans="1:5" x14ac:dyDescent="0.25">
      <c r="A27" s="3" t="s">
        <v>128</v>
      </c>
      <c r="B27" s="3" t="s">
        <v>129</v>
      </c>
      <c r="C27" s="3" t="s">
        <v>130</v>
      </c>
      <c r="D27" s="3" t="s">
        <v>131</v>
      </c>
      <c r="E27" s="3" t="s">
        <v>132</v>
      </c>
    </row>
    <row r="28" ht="28" customHeight="1" spans="1:7" x14ac:dyDescent="0.25">
      <c r="A28" s="7" t="s">
        <v>133</v>
      </c>
      <c r="B28" s="7" t="s">
        <v>84</v>
      </c>
      <c r="C28" s="7" t="s">
        <v>134</v>
      </c>
      <c r="D28" s="7" t="s">
        <v>135</v>
      </c>
      <c r="E28" s="7" t="s">
        <v>64</v>
      </c>
      <c r="F28" s="7"/>
      <c r="G28" s="7"/>
    </row>
    <row r="29" ht="28" customHeight="1" spans="1:7" x14ac:dyDescent="0.25">
      <c r="A29" s="5" t="s">
        <v>136</v>
      </c>
      <c r="B29" s="5" t="s">
        <v>84</v>
      </c>
      <c r="C29" s="5" t="s">
        <v>102</v>
      </c>
      <c r="D29" s="5" t="s">
        <v>135</v>
      </c>
      <c r="E29" s="5" t="s">
        <v>64</v>
      </c>
      <c r="F29" s="5"/>
      <c r="G29" s="5"/>
    </row>
    <row r="30" ht="28" customHeight="1" spans="1:7" x14ac:dyDescent="0.25">
      <c r="A30" s="7" t="s">
        <v>137</v>
      </c>
      <c r="B30" s="7" t="s">
        <v>94</v>
      </c>
      <c r="C30" s="7" t="s">
        <v>96</v>
      </c>
      <c r="D30" s="7" t="s">
        <v>135</v>
      </c>
      <c r="E30" s="7" t="s">
        <v>64</v>
      </c>
      <c r="F30" s="7"/>
      <c r="G30" s="7"/>
    </row>
    <row r="33" spans="1:7" x14ac:dyDescent="0.25">
      <c r="A33" s="6" t="s">
        <v>138</v>
      </c>
      <c r="B33" s="6"/>
      <c r="C33" s="6"/>
      <c r="D33" s="6"/>
      <c r="E33" s="6"/>
      <c r="F33" s="6"/>
      <c r="G33" s="6"/>
    </row>
    <row r="34" spans="1:5" x14ac:dyDescent="0.25">
      <c r="A34" s="3" t="s">
        <v>139</v>
      </c>
      <c r="B34" s="3" t="s">
        <v>140</v>
      </c>
      <c r="C34" s="3" t="s">
        <v>141</v>
      </c>
      <c r="D34" s="3" t="s">
        <v>142</v>
      </c>
      <c r="E34" s="3" t="s">
        <v>143</v>
      </c>
    </row>
    <row r="35" ht="36" customHeight="1" spans="1:7" x14ac:dyDescent="0.25">
      <c r="A35" s="13" t="s">
        <v>144</v>
      </c>
      <c r="B35" s="13" t="s">
        <v>145</v>
      </c>
      <c r="C35" s="13" t="s">
        <v>146</v>
      </c>
      <c r="D35" s="13" t="s">
        <v>147</v>
      </c>
      <c r="E35" s="13" t="s">
        <v>148</v>
      </c>
      <c r="F35" s="13"/>
      <c r="G35" s="13"/>
    </row>
    <row r="36" ht="36" customHeight="1" spans="1:7" x14ac:dyDescent="0.25">
      <c r="A36" s="13" t="s">
        <v>144</v>
      </c>
      <c r="B36" s="13" t="s">
        <v>145</v>
      </c>
      <c r="C36" s="13" t="s">
        <v>149</v>
      </c>
      <c r="D36" s="13" t="s">
        <v>150</v>
      </c>
      <c r="E36" s="13" t="s">
        <v>151</v>
      </c>
      <c r="F36" s="13"/>
      <c r="G36" s="13"/>
    </row>
    <row r="37" ht="36" customHeight="1" spans="1:7" x14ac:dyDescent="0.25">
      <c r="A37" s="13" t="s">
        <v>144</v>
      </c>
      <c r="B37" s="13" t="s">
        <v>152</v>
      </c>
      <c r="C37" s="13" t="s">
        <v>153</v>
      </c>
      <c r="D37" s="13" t="s">
        <v>154</v>
      </c>
      <c r="E37" s="13" t="s">
        <v>155</v>
      </c>
      <c r="F37" s="13"/>
      <c r="G37" s="13"/>
    </row>
    <row r="38" ht="36" customHeight="1" spans="1:7" x14ac:dyDescent="0.25">
      <c r="A38" s="5" t="s">
        <v>156</v>
      </c>
      <c r="B38" s="5" t="s">
        <v>145</v>
      </c>
      <c r="C38" s="5" t="s">
        <v>157</v>
      </c>
      <c r="D38" s="5" t="s">
        <v>158</v>
      </c>
      <c r="E38" s="5" t="s">
        <v>159</v>
      </c>
      <c r="F38" s="5"/>
      <c r="G38" s="5"/>
    </row>
    <row r="39" ht="36" customHeight="1" spans="1:7" x14ac:dyDescent="0.25">
      <c r="A39" s="7" t="s">
        <v>156</v>
      </c>
      <c r="B39" s="7" t="s">
        <v>145</v>
      </c>
      <c r="C39" s="7" t="s">
        <v>160</v>
      </c>
      <c r="D39" s="7" t="s">
        <v>161</v>
      </c>
      <c r="E39" s="7" t="s">
        <v>162</v>
      </c>
      <c r="F39" s="7"/>
      <c r="G39" s="7"/>
    </row>
  </sheetData>
  <mergeCells count="20">
    <mergeCell ref="A1:G1"/>
    <mergeCell ref="A2:G2"/>
    <mergeCell ref="A4:E4"/>
    <mergeCell ref="C5:G5"/>
    <mergeCell ref="C6:G6"/>
    <mergeCell ref="C7:G7"/>
    <mergeCell ref="C8:G8"/>
    <mergeCell ref="C9:G9"/>
    <mergeCell ref="C10:G10"/>
    <mergeCell ref="A13:G13"/>
    <mergeCell ref="A26:G26"/>
    <mergeCell ref="E28:G28"/>
    <mergeCell ref="E29:G29"/>
    <mergeCell ref="E30:G30"/>
    <mergeCell ref="A33:G33"/>
    <mergeCell ref="E35:G35"/>
    <mergeCell ref="E36:G36"/>
    <mergeCell ref="E37:G37"/>
    <mergeCell ref="E38:G38"/>
    <mergeCell ref="E39:G39"/>
  </mergeCells>
  <conditionalFormatting sqref="F15:F23">
    <cfRule type="containsText" dxfId="0" priority="1">
      <formula>NOT(ISERROR(SEARCH("Automated",F15)))</formula>
    </cfRule>
    <cfRule type="containsText" dxfId="1" priority="2">
      <formula>NOT(ISERROR(SEARCH("Gap",F15)))</formula>
    </cfRule>
    <cfRule type="containsText" dxfId="2" priority="3">
      <formula>NOT(ISERROR(SEARCH("Partial",F15)))</formula>
    </cfRule>
  </conditionalFormatting>
  <pageMargins left="0.7" right="0.7" top="0.75" bottom="0.75" header="0.3" footer="0.3"/>
  <pageSetup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workbookViewId="0" showGridLines="0">
      <pane xSplit="1" ySplit="5" topLeftCell="B6" activePane="bottomRight" state="frozen"/>
      <selection pane="bottomRight"/>
    </sheetView>
  </sheetViews>
  <sheetFormatPr defaultRowHeight="15" outlineLevelRow="0" outlineLevelCol="0" x14ac:dyDescent="55"/>
  <cols>
    <col min="1" max="1" width="32" customWidth="1"/>
    <col min="2" max="2" width="20" customWidth="1"/>
    <col min="3" max="3" width="18" customWidth="1"/>
    <col min="4" max="4" width="16" customWidth="1"/>
    <col min="5" max="5" width="20" customWidth="1"/>
    <col min="6" max="6" width="18" customWidth="1"/>
    <col min="7" max="9" width="16" customWidth="1"/>
    <col min="10" max="10" width="18" customWidth="1"/>
    <col min="11" max="11" width="12" customWidth="1"/>
    <col min="12" max="12" width="36" customWidth="1"/>
  </cols>
  <sheetData>
    <row r="1" ht="28" customHeight="1" spans="1:12" x14ac:dyDescent="0.25">
      <c r="A1" s="3" t="s">
        <v>163</v>
      </c>
      <c r="B1" s="3"/>
      <c r="C1" s="3"/>
      <c r="D1" s="3"/>
      <c r="E1" s="3"/>
      <c r="F1" s="3"/>
      <c r="G1" s="3"/>
      <c r="H1" s="3"/>
      <c r="I1" s="3"/>
      <c r="J1" s="3"/>
      <c r="K1" s="3"/>
      <c r="L1" s="3"/>
    </row>
    <row r="2" ht="22" customHeight="1" spans="1:12" x14ac:dyDescent="0.25">
      <c r="A2" s="8" t="s">
        <v>164</v>
      </c>
      <c r="B2" s="8"/>
      <c r="C2" s="8"/>
      <c r="D2" s="8"/>
      <c r="E2" s="8"/>
      <c r="F2" s="8"/>
      <c r="G2" s="8"/>
      <c r="H2" s="8"/>
      <c r="I2" s="8"/>
      <c r="J2" s="8"/>
      <c r="K2" s="8"/>
      <c r="L2" s="8"/>
    </row>
    <row r="4" ht="36" customHeight="1" spans="1:12" x14ac:dyDescent="0.25">
      <c r="A4" s="16" t="s">
        <v>165</v>
      </c>
      <c r="B4" s="16" t="s">
        <v>166</v>
      </c>
      <c r="C4" s="16" t="s">
        <v>167</v>
      </c>
      <c r="D4" s="16" t="s">
        <v>168</v>
      </c>
      <c r="E4" s="16" t="s">
        <v>169</v>
      </c>
      <c r="F4" s="16" t="s">
        <v>170</v>
      </c>
      <c r="G4" s="16" t="s">
        <v>171</v>
      </c>
      <c r="H4" s="16" t="s">
        <v>172</v>
      </c>
      <c r="I4" s="16" t="s">
        <v>173</v>
      </c>
      <c r="J4" s="16" t="s">
        <v>174</v>
      </c>
      <c r="K4" s="16" t="s">
        <v>175</v>
      </c>
      <c r="L4" s="16" t="s">
        <v>176</v>
      </c>
    </row>
    <row r="5" ht="22" customHeight="1" spans="1:12" x14ac:dyDescent="0.25">
      <c r="A5" s="17" t="s">
        <v>40</v>
      </c>
      <c r="B5" s="18" t="s">
        <v>177</v>
      </c>
      <c r="C5" s="18" t="s">
        <v>177</v>
      </c>
      <c r="D5" s="18" t="s">
        <v>177</v>
      </c>
      <c r="E5" s="18" t="s">
        <v>177</v>
      </c>
      <c r="F5" s="18" t="s">
        <v>177</v>
      </c>
      <c r="G5" s="18" t="s">
        <v>178</v>
      </c>
      <c r="H5" s="18" t="s">
        <v>177</v>
      </c>
      <c r="I5" s="18" t="s">
        <v>179</v>
      </c>
      <c r="J5" s="18" t="s">
        <v>177</v>
      </c>
      <c r="K5" s="18">
        <f>COUNTIF(B5:J5,"Y")</f>
      </c>
      <c r="L5" s="17" t="s">
        <v>180</v>
      </c>
    </row>
    <row r="6" ht="22" customHeight="1" spans="1:12" x14ac:dyDescent="0.25">
      <c r="A6" s="19" t="s">
        <v>88</v>
      </c>
      <c r="B6" s="20" t="s">
        <v>177</v>
      </c>
      <c r="C6" s="20" t="s">
        <v>177</v>
      </c>
      <c r="D6" s="20" t="s">
        <v>177</v>
      </c>
      <c r="E6" s="20" t="s">
        <v>178</v>
      </c>
      <c r="F6" s="20" t="s">
        <v>178</v>
      </c>
      <c r="G6" s="20" t="s">
        <v>178</v>
      </c>
      <c r="H6" s="20" t="s">
        <v>177</v>
      </c>
      <c r="I6" s="20" t="s">
        <v>178</v>
      </c>
      <c r="J6" s="20" t="s">
        <v>177</v>
      </c>
      <c r="K6" s="20">
        <f>COUNTIF(B6:J6,"Y")</f>
      </c>
      <c r="L6" s="19" t="s">
        <v>181</v>
      </c>
    </row>
    <row r="7" ht="22" customHeight="1" spans="1:12" x14ac:dyDescent="0.25">
      <c r="A7" s="17" t="s">
        <v>92</v>
      </c>
      <c r="B7" s="18" t="s">
        <v>177</v>
      </c>
      <c r="C7" s="18" t="s">
        <v>178</v>
      </c>
      <c r="D7" s="18" t="s">
        <v>178</v>
      </c>
      <c r="E7" s="18" t="s">
        <v>178</v>
      </c>
      <c r="F7" s="18" t="s">
        <v>178</v>
      </c>
      <c r="G7" s="18" t="s">
        <v>178</v>
      </c>
      <c r="H7" s="18" t="s">
        <v>177</v>
      </c>
      <c r="I7" s="18" t="s">
        <v>179</v>
      </c>
      <c r="J7" s="18" t="s">
        <v>177</v>
      </c>
      <c r="K7" s="18">
        <f>COUNTIF(B7:J7,"Y")</f>
      </c>
      <c r="L7" s="17" t="s">
        <v>182</v>
      </c>
    </row>
    <row r="8" ht="22" customHeight="1" spans="1:12" x14ac:dyDescent="0.25">
      <c r="A8" s="19" t="s">
        <v>183</v>
      </c>
      <c r="B8" s="20" t="s">
        <v>177</v>
      </c>
      <c r="C8" s="20" t="s">
        <v>178</v>
      </c>
      <c r="D8" s="20" t="s">
        <v>177</v>
      </c>
      <c r="E8" s="20" t="s">
        <v>177</v>
      </c>
      <c r="F8" s="20" t="s">
        <v>178</v>
      </c>
      <c r="G8" s="20" t="s">
        <v>178</v>
      </c>
      <c r="H8" s="20" t="s">
        <v>177</v>
      </c>
      <c r="I8" s="20" t="s">
        <v>178</v>
      </c>
      <c r="J8" s="20" t="s">
        <v>177</v>
      </c>
      <c r="K8" s="20">
        <f>COUNTIF(B8:J8,"Y")</f>
      </c>
      <c r="L8" s="19" t="s">
        <v>184</v>
      </c>
    </row>
    <row r="9" ht="22" customHeight="1" spans="1:12" x14ac:dyDescent="0.25">
      <c r="A9" s="17" t="s">
        <v>185</v>
      </c>
      <c r="B9" s="18" t="s">
        <v>177</v>
      </c>
      <c r="C9" s="18" t="s">
        <v>178</v>
      </c>
      <c r="D9" s="18" t="s">
        <v>178</v>
      </c>
      <c r="E9" s="18" t="s">
        <v>178</v>
      </c>
      <c r="F9" s="18" t="s">
        <v>177</v>
      </c>
      <c r="G9" s="18" t="s">
        <v>178</v>
      </c>
      <c r="H9" s="18" t="s">
        <v>177</v>
      </c>
      <c r="I9" s="18" t="s">
        <v>179</v>
      </c>
      <c r="J9" s="18" t="s">
        <v>178</v>
      </c>
      <c r="K9" s="18">
        <f>COUNTIF(B9:J9,"Y")</f>
      </c>
      <c r="L9" s="17" t="s">
        <v>186</v>
      </c>
    </row>
    <row r="10" ht="22" customHeight="1" spans="1:12" x14ac:dyDescent="0.25">
      <c r="A10" s="19" t="s">
        <v>187</v>
      </c>
      <c r="B10" s="20" t="s">
        <v>177</v>
      </c>
      <c r="C10" s="20" t="s">
        <v>178</v>
      </c>
      <c r="D10" s="20" t="s">
        <v>178</v>
      </c>
      <c r="E10" s="20" t="s">
        <v>178</v>
      </c>
      <c r="F10" s="20" t="s">
        <v>178</v>
      </c>
      <c r="G10" s="20" t="s">
        <v>178</v>
      </c>
      <c r="H10" s="20" t="s">
        <v>178</v>
      </c>
      <c r="I10" s="20" t="s">
        <v>178</v>
      </c>
      <c r="J10" s="20" t="s">
        <v>177</v>
      </c>
      <c r="K10" s="20">
        <f>COUNTIF(B10:J10,"Y")</f>
      </c>
      <c r="L10" s="19" t="s">
        <v>188</v>
      </c>
    </row>
    <row r="11" ht="22" customHeight="1" spans="1:12" x14ac:dyDescent="0.25">
      <c r="A11" s="17" t="s">
        <v>189</v>
      </c>
      <c r="B11" s="18" t="s">
        <v>177</v>
      </c>
      <c r="C11" s="18" t="s">
        <v>178</v>
      </c>
      <c r="D11" s="18" t="s">
        <v>178</v>
      </c>
      <c r="E11" s="18" t="s">
        <v>178</v>
      </c>
      <c r="F11" s="18" t="s">
        <v>178</v>
      </c>
      <c r="G11" s="18" t="s">
        <v>178</v>
      </c>
      <c r="H11" s="18" t="s">
        <v>177</v>
      </c>
      <c r="I11" s="18" t="s">
        <v>179</v>
      </c>
      <c r="J11" s="18" t="s">
        <v>177</v>
      </c>
      <c r="K11" s="18">
        <f>COUNTIF(B11:J11,"Y")</f>
      </c>
      <c r="L11" s="17" t="s">
        <v>190</v>
      </c>
    </row>
    <row r="12" ht="22" customHeight="1" spans="1:12" x14ac:dyDescent="0.25">
      <c r="A12" s="19" t="s">
        <v>191</v>
      </c>
      <c r="B12" s="20" t="s">
        <v>177</v>
      </c>
      <c r="C12" s="20" t="s">
        <v>178</v>
      </c>
      <c r="D12" s="20" t="s">
        <v>178</v>
      </c>
      <c r="E12" s="20" t="s">
        <v>178</v>
      </c>
      <c r="F12" s="20" t="s">
        <v>178</v>
      </c>
      <c r="G12" s="20" t="s">
        <v>177</v>
      </c>
      <c r="H12" s="20" t="s">
        <v>177</v>
      </c>
      <c r="I12" s="20" t="s">
        <v>179</v>
      </c>
      <c r="J12" s="20" t="s">
        <v>177</v>
      </c>
      <c r="K12" s="20">
        <f>COUNTIF(B12:J12,"Y")</f>
      </c>
      <c r="L12" s="19" t="s">
        <v>192</v>
      </c>
    </row>
    <row r="13" ht="22" customHeight="1" spans="1:12" x14ac:dyDescent="0.25">
      <c r="A13" s="17" t="s">
        <v>193</v>
      </c>
      <c r="B13" s="18" t="s">
        <v>177</v>
      </c>
      <c r="C13" s="18" t="s">
        <v>178</v>
      </c>
      <c r="D13" s="18" t="s">
        <v>178</v>
      </c>
      <c r="E13" s="18" t="s">
        <v>178</v>
      </c>
      <c r="F13" s="18" t="s">
        <v>178</v>
      </c>
      <c r="G13" s="18" t="s">
        <v>177</v>
      </c>
      <c r="H13" s="18" t="s">
        <v>177</v>
      </c>
      <c r="I13" s="18" t="s">
        <v>179</v>
      </c>
      <c r="J13" s="18" t="s">
        <v>177</v>
      </c>
      <c r="K13" s="18">
        <f>COUNTIF(B13:J13,"Y")</f>
      </c>
      <c r="L13" s="17" t="s">
        <v>194</v>
      </c>
    </row>
    <row r="14" ht="22" customHeight="1" spans="1:12" x14ac:dyDescent="0.25">
      <c r="A14" s="19" t="s">
        <v>195</v>
      </c>
      <c r="B14" s="20" t="s">
        <v>177</v>
      </c>
      <c r="C14" s="20" t="s">
        <v>177</v>
      </c>
      <c r="D14" s="20" t="s">
        <v>177</v>
      </c>
      <c r="E14" s="20" t="s">
        <v>177</v>
      </c>
      <c r="F14" s="20" t="s">
        <v>178</v>
      </c>
      <c r="G14" s="20" t="s">
        <v>178</v>
      </c>
      <c r="H14" s="20" t="s">
        <v>177</v>
      </c>
      <c r="I14" s="20" t="s">
        <v>179</v>
      </c>
      <c r="J14" s="20" t="s">
        <v>177</v>
      </c>
      <c r="K14" s="20">
        <f>COUNTIF(B14:J14,"Y")</f>
      </c>
      <c r="L14" s="19" t="s">
        <v>196</v>
      </c>
    </row>
    <row r="15" ht="22" customHeight="1" spans="1:12" x14ac:dyDescent="0.25">
      <c r="A15" s="17" t="s">
        <v>52</v>
      </c>
      <c r="B15" s="18" t="s">
        <v>177</v>
      </c>
      <c r="C15" s="18" t="s">
        <v>178</v>
      </c>
      <c r="D15" s="18" t="s">
        <v>178</v>
      </c>
      <c r="E15" s="18" t="s">
        <v>178</v>
      </c>
      <c r="F15" s="18" t="s">
        <v>177</v>
      </c>
      <c r="G15" s="18" t="s">
        <v>177</v>
      </c>
      <c r="H15" s="18" t="s">
        <v>177</v>
      </c>
      <c r="I15" s="18" t="s">
        <v>179</v>
      </c>
      <c r="J15" s="18" t="s">
        <v>177</v>
      </c>
      <c r="K15" s="18">
        <f>COUNTIF(B15:J15,"Y")</f>
      </c>
      <c r="L15" s="17" t="s">
        <v>197</v>
      </c>
    </row>
    <row r="16" ht="22" customHeight="1" spans="1:12" x14ac:dyDescent="0.25">
      <c r="A16" s="19" t="s">
        <v>198</v>
      </c>
      <c r="B16" s="20" t="s">
        <v>177</v>
      </c>
      <c r="C16" s="20" t="s">
        <v>178</v>
      </c>
      <c r="D16" s="20" t="s">
        <v>178</v>
      </c>
      <c r="E16" s="20" t="s">
        <v>178</v>
      </c>
      <c r="F16" s="20" t="s">
        <v>177</v>
      </c>
      <c r="G16" s="20" t="s">
        <v>177</v>
      </c>
      <c r="H16" s="20" t="s">
        <v>178</v>
      </c>
      <c r="I16" s="20" t="s">
        <v>178</v>
      </c>
      <c r="J16" s="20" t="s">
        <v>178</v>
      </c>
      <c r="K16" s="20">
        <f>COUNTIF(B16:J16,"Y")</f>
      </c>
      <c r="L16" s="19" t="s">
        <v>199</v>
      </c>
    </row>
    <row r="19" spans="1:4" x14ac:dyDescent="0.25">
      <c r="A19" s="6" t="s">
        <v>200</v>
      </c>
      <c r="B19" s="6"/>
      <c r="C19" s="6"/>
      <c r="D19" s="6"/>
    </row>
    <row r="20" spans="1:4" x14ac:dyDescent="0.25">
      <c r="A20" s="3" t="s">
        <v>201</v>
      </c>
      <c r="B20" s="3" t="s">
        <v>202</v>
      </c>
      <c r="C20" s="3" t="s">
        <v>203</v>
      </c>
      <c r="D20" s="3" t="s">
        <v>204</v>
      </c>
    </row>
    <row r="21" spans="1:4" x14ac:dyDescent="0.25">
      <c r="A21" s="7" t="s">
        <v>205</v>
      </c>
      <c r="B21" s="7" t="s">
        <v>206</v>
      </c>
      <c r="C21" s="7" t="s">
        <v>207</v>
      </c>
      <c r="D21" s="21">
        <v>126743</v>
      </c>
    </row>
    <row r="22" spans="1:4" x14ac:dyDescent="0.25">
      <c r="A22" s="5" t="s">
        <v>208</v>
      </c>
      <c r="B22" s="5" t="s">
        <v>206</v>
      </c>
      <c r="C22" s="5" t="s">
        <v>209</v>
      </c>
      <c r="D22" s="22">
        <v>12675</v>
      </c>
    </row>
    <row r="23" spans="1:4" x14ac:dyDescent="0.25">
      <c r="A23" s="7" t="s">
        <v>210</v>
      </c>
      <c r="B23" s="7" t="s">
        <v>206</v>
      </c>
      <c r="C23" s="7" t="s">
        <v>211</v>
      </c>
      <c r="D23" s="7" t="s">
        <v>212</v>
      </c>
    </row>
    <row r="24" spans="1:4" x14ac:dyDescent="0.25">
      <c r="A24" s="5" t="s">
        <v>213</v>
      </c>
      <c r="B24" s="5" t="s">
        <v>206</v>
      </c>
      <c r="C24" s="5" t="s">
        <v>214</v>
      </c>
      <c r="D24" s="5" t="s">
        <v>215</v>
      </c>
    </row>
    <row r="25" spans="1:4" x14ac:dyDescent="0.25">
      <c r="A25" s="7" t="s">
        <v>216</v>
      </c>
      <c r="B25" s="7" t="s">
        <v>43</v>
      </c>
      <c r="C25" s="7" t="s">
        <v>217</v>
      </c>
      <c r="D25" s="7" t="s">
        <v>218</v>
      </c>
    </row>
    <row r="26" spans="1:4" x14ac:dyDescent="0.25">
      <c r="A26" s="5" t="s">
        <v>219</v>
      </c>
      <c r="B26" s="5" t="s">
        <v>49</v>
      </c>
      <c r="C26" s="5" t="s">
        <v>220</v>
      </c>
      <c r="D26" s="5" t="s">
        <v>221</v>
      </c>
    </row>
    <row r="27" spans="1:4" x14ac:dyDescent="0.25">
      <c r="A27" s="7" t="s">
        <v>222</v>
      </c>
      <c r="B27" s="7" t="s">
        <v>49</v>
      </c>
      <c r="C27" s="7" t="s">
        <v>223</v>
      </c>
      <c r="D27" s="7" t="s">
        <v>224</v>
      </c>
    </row>
    <row r="28" spans="1:4" x14ac:dyDescent="0.25">
      <c r="A28" s="5" t="s">
        <v>225</v>
      </c>
      <c r="B28" s="5" t="s">
        <v>49</v>
      </c>
      <c r="C28" s="5" t="s">
        <v>226</v>
      </c>
      <c r="D28" s="5" t="s">
        <v>227</v>
      </c>
    </row>
    <row r="29" spans="1:4" x14ac:dyDescent="0.25">
      <c r="A29" s="7" t="s">
        <v>228</v>
      </c>
      <c r="B29" s="7" t="s">
        <v>49</v>
      </c>
      <c r="C29" s="7" t="s">
        <v>229</v>
      </c>
      <c r="D29" s="7" t="s">
        <v>230</v>
      </c>
    </row>
    <row r="30" spans="1:4" x14ac:dyDescent="0.25">
      <c r="A30" s="5" t="s">
        <v>231</v>
      </c>
      <c r="B30" s="5" t="s">
        <v>49</v>
      </c>
      <c r="C30" s="5" t="s">
        <v>232</v>
      </c>
      <c r="D30" s="5" t="s">
        <v>233</v>
      </c>
    </row>
    <row r="31" spans="1:4" x14ac:dyDescent="0.25">
      <c r="A31" s="7" t="s">
        <v>234</v>
      </c>
      <c r="B31" s="7" t="s">
        <v>235</v>
      </c>
      <c r="C31" s="7" t="s">
        <v>236</v>
      </c>
      <c r="D31" s="7" t="s">
        <v>237</v>
      </c>
    </row>
    <row r="32" spans="1:4" x14ac:dyDescent="0.25">
      <c r="A32" s="5" t="s">
        <v>238</v>
      </c>
      <c r="B32" s="5" t="s">
        <v>235</v>
      </c>
      <c r="C32" s="5" t="s">
        <v>239</v>
      </c>
      <c r="D32" s="22">
        <v>2</v>
      </c>
    </row>
    <row r="33" spans="1:4" x14ac:dyDescent="0.25">
      <c r="A33" s="7" t="s">
        <v>240</v>
      </c>
      <c r="B33" s="7" t="s">
        <v>235</v>
      </c>
      <c r="C33" s="7" t="s">
        <v>241</v>
      </c>
      <c r="D33" s="21">
        <v>3</v>
      </c>
    </row>
    <row r="34" spans="1:4" x14ac:dyDescent="0.25">
      <c r="A34" s="5" t="s">
        <v>242</v>
      </c>
      <c r="B34" s="5" t="s">
        <v>52</v>
      </c>
      <c r="C34" s="5" t="s">
        <v>243</v>
      </c>
      <c r="D34" s="5" t="s">
        <v>244</v>
      </c>
    </row>
    <row r="35" spans="1:4" x14ac:dyDescent="0.25">
      <c r="A35" s="7" t="s">
        <v>245</v>
      </c>
      <c r="B35" s="7" t="s">
        <v>55</v>
      </c>
      <c r="C35" s="7" t="s">
        <v>246</v>
      </c>
      <c r="D35" s="7" t="s">
        <v>224</v>
      </c>
    </row>
    <row r="38" spans="1:4" x14ac:dyDescent="0.25">
      <c r="A38" s="6" t="s">
        <v>247</v>
      </c>
      <c r="B38" s="6"/>
      <c r="C38" s="6"/>
      <c r="D38" s="6"/>
    </row>
    <row r="39" spans="1:4" x14ac:dyDescent="0.25">
      <c r="A39" s="3" t="s">
        <v>38</v>
      </c>
      <c r="B39" s="3" t="s">
        <v>248</v>
      </c>
      <c r="C39" s="3" t="s">
        <v>63</v>
      </c>
      <c r="D39" s="3"/>
    </row>
    <row r="40" spans="1:4" x14ac:dyDescent="0.25">
      <c r="A40" s="5" t="s">
        <v>249</v>
      </c>
      <c r="B40" s="5">
        <f>COUNTIF('TEST-CASES'!K8:K400,"Positive")</f>
      </c>
      <c r="C40" s="5" t="s">
        <v>250</v>
      </c>
      <c r="D40" s="5"/>
    </row>
    <row r="41" spans="1:4" x14ac:dyDescent="0.25">
      <c r="A41" s="5" t="s">
        <v>251</v>
      </c>
      <c r="B41" s="5">
        <f>COUNTIF('TEST-CASES'!K8:K400,"Negative")</f>
      </c>
      <c r="C41" s="5" t="s">
        <v>252</v>
      </c>
      <c r="D41" s="5"/>
    </row>
    <row r="42" spans="1:4" x14ac:dyDescent="0.25">
      <c r="A42" s="5" t="s">
        <v>253</v>
      </c>
      <c r="B42" s="5">
        <f>COUNTIF('TEST-CASES'!K8:K400,"Edge")</f>
      </c>
      <c r="C42" s="5" t="s">
        <v>254</v>
      </c>
      <c r="D42" s="5"/>
    </row>
    <row r="43" spans="1:4" x14ac:dyDescent="0.25">
      <c r="A43" s="5" t="s">
        <v>145</v>
      </c>
      <c r="B43" s="5">
        <f>COUNTIF('TEST-CASES'!K8:K400,"UI")</f>
      </c>
      <c r="C43" s="5" t="s">
        <v>255</v>
      </c>
      <c r="D43" s="5"/>
    </row>
    <row r="44" spans="1:4" x14ac:dyDescent="0.25">
      <c r="A44" s="8" t="s">
        <v>256</v>
      </c>
      <c r="B44" s="8">
        <f>B40+B41+B42+B43</f>
      </c>
      <c r="C44" s="8" t="s">
        <v>257</v>
      </c>
      <c r="D44" s="8"/>
    </row>
  </sheetData>
  <mergeCells count="10">
    <mergeCell ref="A1:L1"/>
    <mergeCell ref="A2:L2"/>
    <mergeCell ref="A19:D19"/>
    <mergeCell ref="A38:D38"/>
    <mergeCell ref="C39:D39"/>
    <mergeCell ref="C40:D40"/>
    <mergeCell ref="C41:D41"/>
    <mergeCell ref="C42:D42"/>
    <mergeCell ref="C43:D43"/>
    <mergeCell ref="C44:D44"/>
  </mergeCells>
  <conditionalFormatting sqref="B5:J16">
    <cfRule type="containsText" dxfId="3" priority="1">
      <formula>NOT(ISERROR(SEARCH("Y",B5)))</formula>
    </cfRule>
    <cfRule type="containsText" dxfId="4" priority="2">
      <formula>NOT(ISERROR(SEARCH("EXP",B5)))</formula>
    </cfRule>
  </conditionalFormatting>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FormatPr defaultRowHeight="15" outlineLevelRow="0" outlineLevelCol="0" x14ac:dyDescent="55"/>
  <cols>
    <col min="1" max="1" width="18" customWidth="1"/>
    <col min="2" max="3" width="14" customWidth="1"/>
    <col min="4" max="4" width="18" customWidth="1"/>
    <col min="5" max="5" width="16" customWidth="1"/>
    <col min="6" max="8" width="14" customWidth="1"/>
  </cols>
  <sheetData>
    <row r="1" spans="1:8" x14ac:dyDescent="0.25">
      <c r="A1" s="3" t="s">
        <v>132</v>
      </c>
      <c r="B1" s="3" t="s">
        <v>139</v>
      </c>
      <c r="C1" s="3" t="s">
        <v>38</v>
      </c>
      <c r="D1" s="3" t="s">
        <v>258</v>
      </c>
      <c r="E1" s="3" t="s">
        <v>259</v>
      </c>
      <c r="F1" s="3" t="s">
        <v>260</v>
      </c>
      <c r="G1" s="3" t="s">
        <v>261</v>
      </c>
      <c r="H1" s="3" t="s">
        <v>262</v>
      </c>
    </row>
    <row r="2" spans="1:8" x14ac:dyDescent="0.25">
      <c r="A2" t="s">
        <v>22</v>
      </c>
      <c r="B2" t="s">
        <v>263</v>
      </c>
      <c r="C2" t="s">
        <v>249</v>
      </c>
      <c r="D2" t="s">
        <v>64</v>
      </c>
      <c r="E2" t="s">
        <v>264</v>
      </c>
      <c r="F2" t="s">
        <v>265</v>
      </c>
      <c r="G2" t="s">
        <v>263</v>
      </c>
      <c r="H2" t="s">
        <v>266</v>
      </c>
    </row>
    <row r="3" spans="1:8" x14ac:dyDescent="0.25">
      <c r="A3" t="s">
        <v>267</v>
      </c>
      <c r="B3" t="s">
        <v>268</v>
      </c>
      <c r="C3" t="s">
        <v>251</v>
      </c>
      <c r="D3" t="s">
        <v>66</v>
      </c>
      <c r="E3" t="s">
        <v>269</v>
      </c>
      <c r="F3" t="s">
        <v>270</v>
      </c>
      <c r="G3" t="s">
        <v>268</v>
      </c>
      <c r="H3" t="s">
        <v>144</v>
      </c>
    </row>
    <row r="4" spans="1:8" x14ac:dyDescent="0.25">
      <c r="A4" t="s">
        <v>271</v>
      </c>
      <c r="B4" t="s">
        <v>272</v>
      </c>
      <c r="C4" t="s">
        <v>253</v>
      </c>
      <c r="D4" t="s">
        <v>68</v>
      </c>
      <c r="E4" t="s">
        <v>273</v>
      </c>
      <c r="F4" t="s">
        <v>274</v>
      </c>
      <c r="G4" t="s">
        <v>272</v>
      </c>
      <c r="H4" t="s">
        <v>156</v>
      </c>
    </row>
    <row r="5" spans="1:8" x14ac:dyDescent="0.25">
      <c r="A5" t="s">
        <v>275</v>
      </c>
      <c r="B5" t="s">
        <v>276</v>
      </c>
      <c r="C5" t="s">
        <v>145</v>
      </c>
      <c r="D5" t="s">
        <v>70</v>
      </c>
      <c r="E5" t="s">
        <v>277</v>
      </c>
      <c r="F5" t="s">
        <v>278</v>
      </c>
      <c r="G5" t="s">
        <v>276</v>
      </c>
      <c r="H5" t="s">
        <v>279</v>
      </c>
    </row>
    <row r="6" spans="1:6" x14ac:dyDescent="0.25">
      <c r="A6" t="s">
        <v>280</v>
      </c>
      <c r="F6" t="s">
        <v>281</v>
      </c>
    </row>
    <row r="7" spans="6:6" x14ac:dyDescent="0.25">
      <c r="F7" t="s">
        <v>282</v>
      </c>
    </row>
    <row r="8" spans="6:6" x14ac:dyDescent="0.25">
      <c r="F8" t="s">
        <v>283</v>
      </c>
    </row>
    <row r="9" spans="6:6" x14ac:dyDescent="0.25">
      <c r="F9" t="s">
        <v>284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7"/>
  <sheetViews>
    <sheetView workbookViewId="0" showGridLines="0">
      <pane ySplit="7" topLeftCell="A8" activePane="bottomLeft" state="frozen"/>
      <selection pane="bottomLeft"/>
    </sheetView>
  </sheetViews>
  <sheetFormatPr defaultRowHeight="15" outlineLevelRow="0" outlineLevelCol="0" x14ac:dyDescent="55"/>
  <cols>
    <col min="1" max="1" width="14" customWidth="1"/>
    <col min="2" max="2" width="28" customWidth="1"/>
    <col min="3" max="3" width="22" customWidth="1"/>
    <col min="4" max="4" width="36" customWidth="1"/>
    <col min="5" max="5" width="40" customWidth="1"/>
    <col min="6" max="7" width="36" customWidth="1"/>
    <col min="8" max="8" width="12" customWidth="1"/>
    <col min="9" max="9" width="10" customWidth="1"/>
    <col min="10" max="10" width="14" customWidth="1"/>
    <col min="11" max="11" width="28" customWidth="1"/>
    <col min="12" max="13" width="14" customWidth="1"/>
    <col min="14" max="14" width="28" customWidth="1"/>
    <col min="15" max="15" width="20" customWidth="1"/>
  </cols>
  <sheetData>
    <row r="1" ht="28" customHeight="1" spans="1:15" x14ac:dyDescent="0.25">
      <c r="A1" s="23" t="s">
        <v>285</v>
      </c>
      <c r="B1" s="23"/>
      <c r="C1" s="23"/>
      <c r="D1" s="23"/>
      <c r="E1" s="23"/>
      <c r="F1" s="23"/>
      <c r="G1" s="23"/>
      <c r="H1" s="23"/>
      <c r="I1" s="23"/>
      <c r="J1" s="23"/>
      <c r="K1" s="23"/>
      <c r="L1" s="23"/>
      <c r="M1" s="23"/>
      <c r="N1" s="23"/>
      <c r="O1" s="23"/>
    </row>
    <row r="2" ht="24" customHeight="1" spans="1:15" x14ac:dyDescent="0.25">
      <c r="A2" s="24" t="s">
        <v>286</v>
      </c>
      <c r="B2" s="24"/>
      <c r="C2" s="24"/>
      <c r="D2" s="24"/>
      <c r="E2" s="24"/>
      <c r="F2" s="24"/>
      <c r="G2" s="24"/>
      <c r="H2" s="24"/>
      <c r="I2" s="24"/>
      <c r="J2" s="24"/>
      <c r="K2" s="24"/>
      <c r="L2" s="24"/>
      <c r="M2" s="24"/>
      <c r="N2" s="24"/>
      <c r="O2" s="24"/>
    </row>
    <row r="3" ht="20" customHeight="1" spans="1:14" x14ac:dyDescent="0.25">
      <c r="A3" s="6" t="s">
        <v>287</v>
      </c>
      <c r="B3" s="6"/>
      <c r="D3" s="6" t="s">
        <v>274</v>
      </c>
      <c r="E3" s="6"/>
      <c r="G3" s="6" t="s">
        <v>288</v>
      </c>
      <c r="H3" s="6"/>
      <c r="J3" s="6" t="s">
        <v>282</v>
      </c>
      <c r="K3" s="6"/>
      <c r="M3" s="6" t="s">
        <v>289</v>
      </c>
      <c r="N3" s="6"/>
    </row>
    <row r="4" ht="22" customHeight="1" spans="1:14" x14ac:dyDescent="0.25">
      <c r="A4" s="25">
        <f>COUNTIF(J8:J37,"Open")+COUNTIF(J8:J37,"New")</f>
      </c>
      <c r="B4" s="25"/>
      <c r="D4" s="25">
        <f>COUNTIF(J8:J37,"In Progress")</f>
      </c>
      <c r="E4" s="25"/>
      <c r="G4" s="25">
        <f>COUNTIF(J8:J37,"Fixed")+COUNTIF(J8:J37,"Verified")</f>
      </c>
      <c r="H4" s="25"/>
      <c r="J4" s="25">
        <f>COUNTIF(J8:J37,"Closed")</f>
      </c>
      <c r="K4" s="25"/>
      <c r="M4" s="25">
        <f>COUNTA(D8:D37)</f>
      </c>
      <c r="N4" s="25"/>
    </row>
    <row r="5" ht="22" customHeight="1" spans="1:15" x14ac:dyDescent="0.25">
      <c r="A5" s="8" t="s">
        <v>290</v>
      </c>
      <c r="B5" s="8"/>
      <c r="C5" s="8"/>
      <c r="D5" s="8"/>
      <c r="E5" s="8"/>
      <c r="F5" s="8"/>
      <c r="G5" s="8"/>
      <c r="H5" s="8"/>
      <c r="I5" s="8"/>
      <c r="J5" s="8"/>
      <c r="K5" s="8"/>
      <c r="L5" s="8"/>
      <c r="M5" s="8"/>
      <c r="N5" s="8"/>
      <c r="O5" s="8"/>
    </row>
    <row r="6" ht="8" customHeight="1" x14ac:dyDescent="0.25"/>
    <row r="7" ht="28" customHeight="1" spans="1:15" x14ac:dyDescent="0.25">
      <c r="A7" s="16" t="s">
        <v>291</v>
      </c>
      <c r="B7" s="16" t="s">
        <v>292</v>
      </c>
      <c r="C7" s="16" t="s">
        <v>293</v>
      </c>
      <c r="D7" s="16" t="s">
        <v>294</v>
      </c>
      <c r="E7" s="16" t="s">
        <v>295</v>
      </c>
      <c r="F7" s="16" t="s">
        <v>296</v>
      </c>
      <c r="G7" s="16" t="s">
        <v>297</v>
      </c>
      <c r="H7" s="16" t="s">
        <v>298</v>
      </c>
      <c r="I7" s="16" t="s">
        <v>139</v>
      </c>
      <c r="J7" s="16" t="s">
        <v>260</v>
      </c>
      <c r="K7" s="16" t="s">
        <v>299</v>
      </c>
      <c r="L7" s="16" t="s">
        <v>300</v>
      </c>
      <c r="M7" s="16" t="s">
        <v>301</v>
      </c>
      <c r="N7" s="16" t="s">
        <v>302</v>
      </c>
      <c r="O7" s="16" t="s">
        <v>303</v>
      </c>
    </row>
    <row r="8" ht="64" customHeight="1" spans="1:15" x14ac:dyDescent="0.25">
      <c r="A8" s="13" t="s">
        <v>304</v>
      </c>
      <c r="B8" s="13" t="s">
        <v>305</v>
      </c>
      <c r="C8" s="13" t="s">
        <v>306</v>
      </c>
      <c r="D8" s="13" t="s">
        <v>307</v>
      </c>
      <c r="E8" s="13" t="s">
        <v>308</v>
      </c>
      <c r="F8" s="13" t="s">
        <v>309</v>
      </c>
      <c r="G8" s="13" t="s">
        <v>310</v>
      </c>
      <c r="H8" s="13" t="s">
        <v>268</v>
      </c>
      <c r="I8" s="13" t="s">
        <v>144</v>
      </c>
      <c r="J8" s="13" t="s">
        <v>270</v>
      </c>
      <c r="K8" s="13" t="s">
        <v>311</v>
      </c>
      <c r="L8" s="13" t="s">
        <v>312</v>
      </c>
      <c r="M8" s="26">
        <v>46273.77083333333</v>
      </c>
      <c r="N8" s="13" t="s">
        <v>313</v>
      </c>
      <c r="O8" s="13" t="s">
        <v>314</v>
      </c>
    </row>
    <row r="9" ht="64" customHeight="1" spans="1:15" x14ac:dyDescent="0.25">
      <c r="A9" s="13" t="s">
        <v>315</v>
      </c>
      <c r="B9" s="13" t="s">
        <v>316</v>
      </c>
      <c r="C9" s="13" t="s">
        <v>235</v>
      </c>
      <c r="D9" s="13" t="s">
        <v>317</v>
      </c>
      <c r="E9" s="13" t="s">
        <v>318</v>
      </c>
      <c r="F9" s="13" t="s">
        <v>319</v>
      </c>
      <c r="G9" s="13" t="s">
        <v>320</v>
      </c>
      <c r="H9" s="13" t="s">
        <v>272</v>
      </c>
      <c r="I9" s="13" t="s">
        <v>156</v>
      </c>
      <c r="J9" s="13" t="s">
        <v>270</v>
      </c>
      <c r="K9" s="13" t="s">
        <v>311</v>
      </c>
      <c r="L9" s="13" t="s">
        <v>312</v>
      </c>
      <c r="M9" s="26">
        <v>46273.77083333333</v>
      </c>
      <c r="N9" s="13" t="s">
        <v>321</v>
      </c>
      <c r="O9" s="13" t="s">
        <v>314</v>
      </c>
    </row>
    <row r="10" ht="36" customHeight="1" spans="1:15" x14ac:dyDescent="0.25">
      <c r="A10" s="7" t="s">
        <v>322</v>
      </c>
      <c r="B10" s="5"/>
      <c r="C10" s="5"/>
      <c r="D10" s="5"/>
      <c r="E10" s="5"/>
      <c r="F10" s="5"/>
      <c r="G10" s="5"/>
      <c r="H10" s="5"/>
      <c r="I10" s="5"/>
      <c r="J10" s="5"/>
      <c r="K10" s="5"/>
      <c r="L10" s="5"/>
      <c r="M10" s="5"/>
      <c r="N10" s="5"/>
      <c r="O10" s="5"/>
    </row>
    <row r="11" ht="36" customHeight="1" spans="1:15" x14ac:dyDescent="0.25">
      <c r="A11" s="7" t="s">
        <v>323</v>
      </c>
      <c r="B11" s="7"/>
      <c r="C11" s="7"/>
      <c r="D11" s="7"/>
      <c r="E11" s="7"/>
      <c r="F11" s="7"/>
      <c r="G11" s="7"/>
      <c r="H11" s="7"/>
      <c r="I11" s="7"/>
      <c r="J11" s="7"/>
      <c r="K11" s="7"/>
      <c r="L11" s="7"/>
      <c r="M11" s="7"/>
      <c r="N11" s="7"/>
      <c r="O11" s="7"/>
    </row>
    <row r="12" ht="36" customHeight="1" spans="1:15" x14ac:dyDescent="0.25">
      <c r="A12" s="7" t="s">
        <v>324</v>
      </c>
      <c r="B12" s="5"/>
      <c r="C12" s="5"/>
      <c r="D12" s="5"/>
      <c r="E12" s="5"/>
      <c r="F12" s="5"/>
      <c r="G12" s="5"/>
      <c r="H12" s="5"/>
      <c r="I12" s="5"/>
      <c r="J12" s="5"/>
      <c r="K12" s="5"/>
      <c r="L12" s="5"/>
      <c r="M12" s="5"/>
      <c r="N12" s="5"/>
      <c r="O12" s="5"/>
    </row>
    <row r="13" ht="36" customHeight="1" spans="1:15" x14ac:dyDescent="0.25">
      <c r="A13" s="7" t="s">
        <v>325</v>
      </c>
      <c r="B13" s="7"/>
      <c r="C13" s="7"/>
      <c r="D13" s="7"/>
      <c r="E13" s="7"/>
      <c r="F13" s="7"/>
      <c r="G13" s="7"/>
      <c r="H13" s="7"/>
      <c r="I13" s="7"/>
      <c r="J13" s="7"/>
      <c r="K13" s="7"/>
      <c r="L13" s="7"/>
      <c r="M13" s="7"/>
      <c r="N13" s="7"/>
      <c r="O13" s="7"/>
    </row>
    <row r="14" ht="36" customHeight="1" spans="1:15" x14ac:dyDescent="0.25">
      <c r="A14" s="7" t="s">
        <v>326</v>
      </c>
      <c r="B14" s="5"/>
      <c r="C14" s="5"/>
      <c r="D14" s="5"/>
      <c r="E14" s="5"/>
      <c r="F14" s="5"/>
      <c r="G14" s="5"/>
      <c r="H14" s="5"/>
      <c r="I14" s="5"/>
      <c r="J14" s="5"/>
      <c r="K14" s="5"/>
      <c r="L14" s="5"/>
      <c r="M14" s="5"/>
      <c r="N14" s="5"/>
      <c r="O14" s="5"/>
    </row>
    <row r="15" ht="36" customHeight="1" spans="1:15" x14ac:dyDescent="0.25">
      <c r="A15" s="7" t="s">
        <v>327</v>
      </c>
      <c r="B15" s="7"/>
      <c r="C15" s="7"/>
      <c r="D15" s="7"/>
      <c r="E15" s="7"/>
      <c r="F15" s="7"/>
      <c r="G15" s="7"/>
      <c r="H15" s="7"/>
      <c r="I15" s="7"/>
      <c r="J15" s="7"/>
      <c r="K15" s="7"/>
      <c r="L15" s="7"/>
      <c r="M15" s="7"/>
      <c r="N15" s="7"/>
      <c r="O15" s="7"/>
    </row>
    <row r="16" ht="36" customHeight="1" spans="1:15" x14ac:dyDescent="0.25">
      <c r="A16" s="7" t="s">
        <v>328</v>
      </c>
      <c r="B16" s="5"/>
      <c r="C16" s="5"/>
      <c r="D16" s="5"/>
      <c r="E16" s="5"/>
      <c r="F16" s="5"/>
      <c r="G16" s="5"/>
      <c r="H16" s="5"/>
      <c r="I16" s="5"/>
      <c r="J16" s="5"/>
      <c r="K16" s="5"/>
      <c r="L16" s="5"/>
      <c r="M16" s="5"/>
      <c r="N16" s="5"/>
      <c r="O16" s="5"/>
    </row>
    <row r="17" ht="36" customHeight="1" spans="1:15" x14ac:dyDescent="0.25">
      <c r="A17" s="7" t="s">
        <v>329</v>
      </c>
      <c r="B17" s="7"/>
      <c r="C17" s="7"/>
      <c r="D17" s="7"/>
      <c r="E17" s="7"/>
      <c r="F17" s="7"/>
      <c r="G17" s="7"/>
      <c r="H17" s="7"/>
      <c r="I17" s="7"/>
      <c r="J17" s="7"/>
      <c r="K17" s="7"/>
      <c r="L17" s="7"/>
      <c r="M17" s="7"/>
      <c r="N17" s="7"/>
      <c r="O17" s="7"/>
    </row>
    <row r="18" ht="36" customHeight="1" spans="1:15" x14ac:dyDescent="0.25">
      <c r="A18" s="7" t="s">
        <v>330</v>
      </c>
      <c r="B18" s="5"/>
      <c r="C18" s="5"/>
      <c r="D18" s="5"/>
      <c r="E18" s="5"/>
      <c r="F18" s="5"/>
      <c r="G18" s="5"/>
      <c r="H18" s="5"/>
      <c r="I18" s="5"/>
      <c r="J18" s="5"/>
      <c r="K18" s="5"/>
      <c r="L18" s="5"/>
      <c r="M18" s="5"/>
      <c r="N18" s="5"/>
      <c r="O18" s="5"/>
    </row>
    <row r="19" ht="36" customHeight="1" spans="1:15" x14ac:dyDescent="0.25">
      <c r="A19" s="7" t="s">
        <v>331</v>
      </c>
      <c r="B19" s="7"/>
      <c r="C19" s="7"/>
      <c r="D19" s="7"/>
      <c r="E19" s="7"/>
      <c r="F19" s="7"/>
      <c r="G19" s="7"/>
      <c r="H19" s="7"/>
      <c r="I19" s="7"/>
      <c r="J19" s="7"/>
      <c r="K19" s="7"/>
      <c r="L19" s="7"/>
      <c r="M19" s="7"/>
      <c r="N19" s="7"/>
      <c r="O19" s="7"/>
    </row>
    <row r="20" ht="36" customHeight="1" spans="1:15" x14ac:dyDescent="0.25">
      <c r="A20" s="7" t="s">
        <v>332</v>
      </c>
      <c r="B20" s="5"/>
      <c r="C20" s="5"/>
      <c r="D20" s="5"/>
      <c r="E20" s="5"/>
      <c r="F20" s="5"/>
      <c r="G20" s="5"/>
      <c r="H20" s="5"/>
      <c r="I20" s="5"/>
      <c r="J20" s="5"/>
      <c r="K20" s="5"/>
      <c r="L20" s="5"/>
      <c r="M20" s="5"/>
      <c r="N20" s="5"/>
      <c r="O20" s="5"/>
    </row>
    <row r="21" ht="36" customHeight="1" spans="1:15" x14ac:dyDescent="0.25">
      <c r="A21" s="7" t="s">
        <v>333</v>
      </c>
      <c r="B21" s="7"/>
      <c r="C21" s="7"/>
      <c r="D21" s="7"/>
      <c r="E21" s="7"/>
      <c r="F21" s="7"/>
      <c r="G21" s="7"/>
      <c r="H21" s="7"/>
      <c r="I21" s="7"/>
      <c r="J21" s="7"/>
      <c r="K21" s="7"/>
      <c r="L21" s="7"/>
      <c r="M21" s="7"/>
      <c r="N21" s="7"/>
      <c r="O21" s="7"/>
    </row>
    <row r="22" ht="36" customHeight="1" spans="1:15" x14ac:dyDescent="0.25">
      <c r="A22" s="7" t="s">
        <v>334</v>
      </c>
      <c r="B22" s="5"/>
      <c r="C22" s="5"/>
      <c r="D22" s="5"/>
      <c r="E22" s="5"/>
      <c r="F22" s="5"/>
      <c r="G22" s="5"/>
      <c r="H22" s="5"/>
      <c r="I22" s="5"/>
      <c r="J22" s="5"/>
      <c r="K22" s="5"/>
      <c r="L22" s="5"/>
      <c r="M22" s="5"/>
      <c r="N22" s="5"/>
      <c r="O22" s="5"/>
    </row>
    <row r="23" ht="36" customHeight="1" spans="1:15" x14ac:dyDescent="0.25">
      <c r="A23" s="7" t="s">
        <v>335</v>
      </c>
      <c r="B23" s="7"/>
      <c r="C23" s="7"/>
      <c r="D23" s="7"/>
      <c r="E23" s="7"/>
      <c r="F23" s="7"/>
      <c r="G23" s="7"/>
      <c r="H23" s="7"/>
      <c r="I23" s="7"/>
      <c r="J23" s="7"/>
      <c r="K23" s="7"/>
      <c r="L23" s="7"/>
      <c r="M23" s="7"/>
      <c r="N23" s="7"/>
      <c r="O23" s="7"/>
    </row>
    <row r="24" ht="36" customHeight="1" spans="1:15" x14ac:dyDescent="0.25">
      <c r="A24" s="7" t="s">
        <v>336</v>
      </c>
      <c r="B24" s="5"/>
      <c r="C24" s="5"/>
      <c r="D24" s="5"/>
      <c r="E24" s="5"/>
      <c r="F24" s="5"/>
      <c r="G24" s="5"/>
      <c r="H24" s="5"/>
      <c r="I24" s="5"/>
      <c r="J24" s="5"/>
      <c r="K24" s="5"/>
      <c r="L24" s="5"/>
      <c r="M24" s="5"/>
      <c r="N24" s="5"/>
      <c r="O24" s="5"/>
    </row>
    <row r="25" ht="36" customHeight="1" spans="1:15" x14ac:dyDescent="0.25">
      <c r="A25" s="7" t="s">
        <v>337</v>
      </c>
      <c r="B25" s="7"/>
      <c r="C25" s="7"/>
      <c r="D25" s="7"/>
      <c r="E25" s="7"/>
      <c r="F25" s="7"/>
      <c r="G25" s="7"/>
      <c r="H25" s="7"/>
      <c r="I25" s="7"/>
      <c r="J25" s="7"/>
      <c r="K25" s="7"/>
      <c r="L25" s="7"/>
      <c r="M25" s="7"/>
      <c r="N25" s="7"/>
      <c r="O25" s="7"/>
    </row>
    <row r="26" ht="36" customHeight="1" spans="1:15" x14ac:dyDescent="0.25">
      <c r="A26" s="7" t="s">
        <v>338</v>
      </c>
      <c r="B26" s="5"/>
      <c r="C26" s="5"/>
      <c r="D26" s="5"/>
      <c r="E26" s="5"/>
      <c r="F26" s="5"/>
      <c r="G26" s="5"/>
      <c r="H26" s="5"/>
      <c r="I26" s="5"/>
      <c r="J26" s="5"/>
      <c r="K26" s="5"/>
      <c r="L26" s="5"/>
      <c r="M26" s="5"/>
      <c r="N26" s="5"/>
      <c r="O26" s="5"/>
    </row>
    <row r="27" ht="36" customHeight="1" spans="1:15" x14ac:dyDescent="0.25">
      <c r="A27" s="7" t="s">
        <v>339</v>
      </c>
      <c r="B27" s="7"/>
      <c r="C27" s="7"/>
      <c r="D27" s="7"/>
      <c r="E27" s="7"/>
      <c r="F27" s="7"/>
      <c r="G27" s="7"/>
      <c r="H27" s="7"/>
      <c r="I27" s="7"/>
      <c r="J27" s="7"/>
      <c r="K27" s="7"/>
      <c r="L27" s="7"/>
      <c r="M27" s="7"/>
      <c r="N27" s="7"/>
      <c r="O27" s="7"/>
    </row>
    <row r="28" ht="36" customHeight="1" spans="1:15" x14ac:dyDescent="0.25">
      <c r="A28" s="7" t="s">
        <v>340</v>
      </c>
      <c r="B28" s="5"/>
      <c r="C28" s="5"/>
      <c r="D28" s="5"/>
      <c r="E28" s="5"/>
      <c r="F28" s="5"/>
      <c r="G28" s="5"/>
      <c r="H28" s="5"/>
      <c r="I28" s="5"/>
      <c r="J28" s="5"/>
      <c r="K28" s="5"/>
      <c r="L28" s="5"/>
      <c r="M28" s="5"/>
      <c r="N28" s="5"/>
      <c r="O28" s="5"/>
    </row>
    <row r="29" ht="36" customHeight="1" spans="1:15" x14ac:dyDescent="0.25">
      <c r="A29" s="7" t="s">
        <v>341</v>
      </c>
      <c r="B29" s="7"/>
      <c r="C29" s="7"/>
      <c r="D29" s="7"/>
      <c r="E29" s="7"/>
      <c r="F29" s="7"/>
      <c r="G29" s="7"/>
      <c r="H29" s="7"/>
      <c r="I29" s="7"/>
      <c r="J29" s="7"/>
      <c r="K29" s="7"/>
      <c r="L29" s="7"/>
      <c r="M29" s="7"/>
      <c r="N29" s="7"/>
      <c r="O29" s="7"/>
    </row>
    <row r="30" ht="36" customHeight="1" spans="1:15" x14ac:dyDescent="0.25">
      <c r="A30" s="7" t="s">
        <v>342</v>
      </c>
      <c r="B30" s="5"/>
      <c r="C30" s="5"/>
      <c r="D30" s="5"/>
      <c r="E30" s="5"/>
      <c r="F30" s="5"/>
      <c r="G30" s="5"/>
      <c r="H30" s="5"/>
      <c r="I30" s="5"/>
      <c r="J30" s="5"/>
      <c r="K30" s="5"/>
      <c r="L30" s="5"/>
      <c r="M30" s="5"/>
      <c r="N30" s="5"/>
      <c r="O30" s="5"/>
    </row>
    <row r="31" ht="36" customHeight="1" spans="1:15" x14ac:dyDescent="0.25">
      <c r="A31" s="7" t="s">
        <v>343</v>
      </c>
      <c r="B31" s="7"/>
      <c r="C31" s="7"/>
      <c r="D31" s="7"/>
      <c r="E31" s="7"/>
      <c r="F31" s="7"/>
      <c r="G31" s="7"/>
      <c r="H31" s="7"/>
      <c r="I31" s="7"/>
      <c r="J31" s="7"/>
      <c r="K31" s="7"/>
      <c r="L31" s="7"/>
      <c r="M31" s="7"/>
      <c r="N31" s="7"/>
      <c r="O31" s="7"/>
    </row>
    <row r="32" ht="36" customHeight="1" spans="1:15" x14ac:dyDescent="0.25">
      <c r="A32" s="7" t="s">
        <v>344</v>
      </c>
      <c r="B32" s="5"/>
      <c r="C32" s="5"/>
      <c r="D32" s="5"/>
      <c r="E32" s="5"/>
      <c r="F32" s="5"/>
      <c r="G32" s="5"/>
      <c r="H32" s="5"/>
      <c r="I32" s="5"/>
      <c r="J32" s="5"/>
      <c r="K32" s="5"/>
      <c r="L32" s="5"/>
      <c r="M32" s="5"/>
      <c r="N32" s="5"/>
      <c r="O32" s="5"/>
    </row>
    <row r="33" ht="36" customHeight="1" spans="1:15" x14ac:dyDescent="0.25">
      <c r="A33" s="7" t="s">
        <v>345</v>
      </c>
      <c r="B33" s="7"/>
      <c r="C33" s="7"/>
      <c r="D33" s="7"/>
      <c r="E33" s="7"/>
      <c r="F33" s="7"/>
      <c r="G33" s="7"/>
      <c r="H33" s="7"/>
      <c r="I33" s="7"/>
      <c r="J33" s="7"/>
      <c r="K33" s="7"/>
      <c r="L33" s="7"/>
      <c r="M33" s="7"/>
      <c r="N33" s="7"/>
      <c r="O33" s="7"/>
    </row>
    <row r="34" ht="36" customHeight="1" spans="1:15" x14ac:dyDescent="0.25">
      <c r="A34" s="7" t="s">
        <v>346</v>
      </c>
      <c r="B34" s="5"/>
      <c r="C34" s="5"/>
      <c r="D34" s="5"/>
      <c r="E34" s="5"/>
      <c r="F34" s="5"/>
      <c r="G34" s="5"/>
      <c r="H34" s="5"/>
      <c r="I34" s="5"/>
      <c r="J34" s="5"/>
      <c r="K34" s="5"/>
      <c r="L34" s="5"/>
      <c r="M34" s="5"/>
      <c r="N34" s="5"/>
      <c r="O34" s="5"/>
    </row>
    <row r="35" ht="36" customHeight="1" spans="1:15" x14ac:dyDescent="0.25">
      <c r="A35" s="7" t="s">
        <v>347</v>
      </c>
      <c r="B35" s="7"/>
      <c r="C35" s="7"/>
      <c r="D35" s="7"/>
      <c r="E35" s="7"/>
      <c r="F35" s="7"/>
      <c r="G35" s="7"/>
      <c r="H35" s="7"/>
      <c r="I35" s="7"/>
      <c r="J35" s="7"/>
      <c r="K35" s="7"/>
      <c r="L35" s="7"/>
      <c r="M35" s="7"/>
      <c r="N35" s="7"/>
      <c r="O35" s="7"/>
    </row>
    <row r="36" ht="36" customHeight="1" spans="1:15" x14ac:dyDescent="0.25">
      <c r="A36" s="7" t="s">
        <v>348</v>
      </c>
      <c r="B36" s="5"/>
      <c r="C36" s="5"/>
      <c r="D36" s="5"/>
      <c r="E36" s="5"/>
      <c r="F36" s="5"/>
      <c r="G36" s="5"/>
      <c r="H36" s="5"/>
      <c r="I36" s="5"/>
      <c r="J36" s="5"/>
      <c r="K36" s="5"/>
      <c r="L36" s="5"/>
      <c r="M36" s="5"/>
      <c r="N36" s="5"/>
      <c r="O36" s="5"/>
    </row>
    <row r="37" ht="36" customHeight="1" spans="1:15" x14ac:dyDescent="0.25">
      <c r="A37" s="7" t="s">
        <v>349</v>
      </c>
      <c r="B37" s="7"/>
      <c r="C37" s="7"/>
      <c r="D37" s="7"/>
      <c r="E37" s="7"/>
      <c r="F37" s="7"/>
      <c r="G37" s="7"/>
      <c r="H37" s="7"/>
      <c r="I37" s="7"/>
      <c r="J37" s="7"/>
      <c r="K37" s="7"/>
      <c r="L37" s="7"/>
      <c r="M37" s="7"/>
      <c r="N37" s="7"/>
      <c r="O37" s="7"/>
    </row>
  </sheetData>
  <autoFilter ref="A7:O37"/>
  <mergeCells count="13">
    <mergeCell ref="A1:O1"/>
    <mergeCell ref="A2:O2"/>
    <mergeCell ref="A3:B3"/>
    <mergeCell ref="D3:E3"/>
    <mergeCell ref="G3:H3"/>
    <mergeCell ref="J3:K3"/>
    <mergeCell ref="M3:N3"/>
    <mergeCell ref="A4:B4"/>
    <mergeCell ref="D4:E4"/>
    <mergeCell ref="G4:H4"/>
    <mergeCell ref="J4:K4"/>
    <mergeCell ref="M4:N4"/>
    <mergeCell ref="A5:O5"/>
  </mergeCells>
  <conditionalFormatting sqref="J8:J37">
    <cfRule type="containsText" dxfId="5" priority="1">
      <formula>NOT(ISERROR(SEARCH("Open",J8)))</formula>
    </cfRule>
    <cfRule type="containsText" dxfId="6" priority="2">
      <formula>NOT(ISERROR(SEARCH("New",J8)))</formula>
    </cfRule>
    <cfRule type="containsText" dxfId="7" priority="3">
      <formula>NOT(ISERROR(SEARCH("Fixed",J8)))</formula>
    </cfRule>
    <cfRule type="containsText" dxfId="8" priority="4">
      <formula>NOT(ISERROR(SEARCH("Closed",J8)))</formula>
    </cfRule>
    <cfRule type="containsText" dxfId="9" priority="5">
      <formula>NOT(ISERROR(SEARCH("Verified",J8)))</formula>
    </cfRule>
  </conditionalFormatting>
  <dataValidations count="3">
    <dataValidation type="list" allowBlank="1" sqref="H8:H37">
      <formula1>LISTS!$G$2:$G$5</formula1>
    </dataValidation>
    <dataValidation type="list" allowBlank="1" sqref="I8:I37">
      <formula1>LISTS!$H$2:$H$5</formula1>
    </dataValidation>
    <dataValidation type="list" allowBlank="1" sqref="J8:J37">
      <formula1>LISTS!$F$2:$F$9</formula1>
    </dataValidation>
  </dataValidations>
  <pageMargins left="0.7" right="0.7" top="0.75" bottom="0.75" header="0.3" footer="0.3"/>
  <pageSetup orientation="landscape"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44"/>
  <sheetViews>
    <sheetView workbookViewId="0" showGridLines="0">
      <pane ySplit="7" topLeftCell="A8" activePane="bottomLeft" state="frozen"/>
      <selection pane="bottomLeft"/>
    </sheetView>
  </sheetViews>
  <sheetFormatPr defaultRowHeight="15" outlineLevelRow="0" outlineLevelCol="0" x14ac:dyDescent="55"/>
  <cols>
    <col min="1" max="1" width="16" customWidth="1"/>
    <col min="2" max="2" width="22" customWidth="1"/>
    <col min="3" max="3" width="28" customWidth="1"/>
    <col min="4" max="4" width="40" customWidth="1"/>
    <col min="5" max="5" width="44" customWidth="1"/>
    <col min="6" max="6" width="32" customWidth="1"/>
    <col min="7" max="7" width="44" customWidth="1"/>
    <col min="8" max="8" width="20" customWidth="1"/>
    <col min="9" max="9" width="14" customWidth="1"/>
    <col min="10" max="11" width="12" customWidth="1"/>
    <col min="12" max="13" width="16" customWidth="1"/>
    <col min="14" max="14" width="36" customWidth="1"/>
    <col min="15" max="15" width="40" customWidth="1"/>
    <col min="16" max="16" width="12" customWidth="1"/>
    <col min="17" max="17" width="14" customWidth="1"/>
    <col min="18" max="18" width="12" customWidth="1"/>
    <col min="19" max="19" width="18" customWidth="1"/>
  </cols>
  <sheetData>
    <row r="1" ht="28" customHeight="1" spans="1:19" x14ac:dyDescent="0.25">
      <c r="A1" s="23" t="s">
        <v>350</v>
      </c>
      <c r="B1" s="23"/>
      <c r="C1" s="23"/>
      <c r="D1" s="23"/>
      <c r="E1" s="23"/>
      <c r="F1" s="23"/>
      <c r="G1" s="23"/>
      <c r="H1" s="23"/>
      <c r="I1" s="23"/>
      <c r="J1" s="23"/>
      <c r="K1" s="23"/>
      <c r="L1" s="23"/>
      <c r="M1" s="23"/>
      <c r="N1" s="23"/>
      <c r="O1" s="23"/>
      <c r="P1" s="23"/>
      <c r="Q1" s="23"/>
      <c r="R1" s="23"/>
      <c r="S1" s="23"/>
    </row>
    <row r="2" ht="22" customHeight="1" spans="1:19" x14ac:dyDescent="0.25">
      <c r="A2" s="2" t="s">
        <v>351</v>
      </c>
      <c r="B2" s="2"/>
      <c r="C2" s="2"/>
      <c r="D2" s="2"/>
      <c r="E2" s="2"/>
      <c r="F2" s="2"/>
      <c r="G2" s="2"/>
      <c r="H2" s="2"/>
      <c r="I2" s="2"/>
      <c r="J2" s="2"/>
      <c r="K2" s="2"/>
      <c r="L2" s="2"/>
      <c r="M2" s="2"/>
      <c r="N2" s="2"/>
      <c r="O2" s="2"/>
      <c r="P2" s="2"/>
      <c r="Q2" s="2"/>
      <c r="R2" s="2"/>
      <c r="S2" s="2"/>
    </row>
    <row r="3" ht="22" customHeight="1" spans="1:19" x14ac:dyDescent="0.25">
      <c r="A3" s="2">
        <f>"Total cases: 120  |  Executed: "&amp;COUNTIF(I8:I500,"&lt;&gt;Not Executed")-COUNTIF(I8:I500,"")&amp;"  |  Pass: "&amp;COUNTIF(I8:I500,"Pass")&amp;"  |  Fail: "&amp;COUNTIF(I8:I500,"Fail")&amp;"  |  Blocked: "&amp;COUNTIF(I8:I500,"Blocked")&amp;"  |  Pass %: "&amp;IF(COUNTIF(I8:I500,"Pass")+COUNTIF(I8:I500,"Fail")+COUNTIF(I8:I500,"Pass with Note")+COUNTIF(I8:I500,"Blocked")=0,"—",TEXT(COUNTIF(I8:I500,"Pass")/(COUNTIF(I8:I500,"Pass")+COUNTIF(I8:I500,"Fail")+COUNTIF(I8:I500,"Pass with Note")+COUNTIF(I8:I500,"Blocked")),"0%"))</f>
      </c>
      <c r="B3" s="2"/>
      <c r="C3" s="2"/>
      <c r="D3" s="2"/>
      <c r="E3" s="2"/>
      <c r="F3" s="2"/>
      <c r="G3" s="2"/>
      <c r="H3" s="2"/>
      <c r="I3" s="2"/>
      <c r="J3" s="2"/>
      <c r="K3" s="2"/>
      <c r="L3" s="2"/>
      <c r="M3" s="2"/>
      <c r="N3" s="2"/>
      <c r="O3" s="2"/>
      <c r="P3" s="2"/>
      <c r="Q3" s="2"/>
      <c r="R3" s="2"/>
      <c r="S3" s="2"/>
    </row>
    <row r="4" ht="8" customHeight="1" x14ac:dyDescent="0.25"/>
    <row r="5" ht="22" customHeight="1" spans="1:19" x14ac:dyDescent="0.25">
      <c r="A5" s="8" t="s">
        <v>352</v>
      </c>
      <c r="B5" s="8"/>
      <c r="C5" s="8"/>
      <c r="D5" s="8"/>
      <c r="E5" s="8"/>
      <c r="F5" s="8"/>
      <c r="G5" s="8"/>
      <c r="H5" s="8"/>
      <c r="I5" s="8"/>
      <c r="J5" s="8"/>
      <c r="K5" s="8"/>
      <c r="L5" s="8"/>
      <c r="M5" s="8"/>
      <c r="N5" s="8"/>
      <c r="O5" s="8"/>
      <c r="P5" s="8"/>
      <c r="Q5" s="8"/>
      <c r="R5" s="8"/>
      <c r="S5" s="8"/>
    </row>
    <row r="6" ht="8" customHeight="1" x14ac:dyDescent="0.25"/>
    <row r="7" ht="28" customHeight="1" spans="1:19" x14ac:dyDescent="0.25">
      <c r="A7" s="16" t="s">
        <v>353</v>
      </c>
      <c r="B7" s="16" t="s">
        <v>354</v>
      </c>
      <c r="C7" s="16" t="s">
        <v>355</v>
      </c>
      <c r="D7" s="16" t="s">
        <v>356</v>
      </c>
      <c r="E7" s="16" t="s">
        <v>357</v>
      </c>
      <c r="F7" s="16" t="s">
        <v>358</v>
      </c>
      <c r="G7" s="16" t="s">
        <v>296</v>
      </c>
      <c r="H7" s="16" t="s">
        <v>297</v>
      </c>
      <c r="I7" s="16" t="s">
        <v>132</v>
      </c>
      <c r="J7" s="16" t="s">
        <v>139</v>
      </c>
      <c r="K7" s="16" t="s">
        <v>38</v>
      </c>
      <c r="L7" s="16" t="s">
        <v>259</v>
      </c>
      <c r="M7" s="16" t="s">
        <v>258</v>
      </c>
      <c r="N7" s="16" t="s">
        <v>359</v>
      </c>
      <c r="O7" s="16" t="s">
        <v>360</v>
      </c>
      <c r="P7" s="16" t="s">
        <v>361</v>
      </c>
      <c r="Q7" s="16" t="s">
        <v>362</v>
      </c>
      <c r="R7" s="16" t="s">
        <v>291</v>
      </c>
      <c r="S7" s="16" t="s">
        <v>303</v>
      </c>
    </row>
    <row r="8" ht="22" customHeight="1" spans="1:7" x14ac:dyDescent="0.25">
      <c r="A8" s="27" t="s">
        <v>363</v>
      </c>
      <c r="B8" s="27"/>
      <c r="C8" s="27"/>
      <c r="D8" s="27"/>
      <c r="E8" s="27"/>
      <c r="F8" s="27"/>
      <c r="G8" s="27"/>
    </row>
    <row r="9" ht="72" customHeight="1" spans="1:19" x14ac:dyDescent="0.25">
      <c r="A9" s="7" t="s">
        <v>364</v>
      </c>
      <c r="B9" s="7" t="s">
        <v>365</v>
      </c>
      <c r="C9" s="7" t="s">
        <v>366</v>
      </c>
      <c r="D9" s="7" t="s">
        <v>367</v>
      </c>
      <c r="E9" s="7" t="s">
        <v>368</v>
      </c>
      <c r="F9" s="7" t="s">
        <v>369</v>
      </c>
      <c r="G9" s="7" t="s">
        <v>370</v>
      </c>
      <c r="H9" s="7" t="s">
        <v>314</v>
      </c>
      <c r="I9" s="7" t="s">
        <v>22</v>
      </c>
      <c r="J9" s="7" t="s">
        <v>263</v>
      </c>
      <c r="K9" s="7" t="s">
        <v>145</v>
      </c>
      <c r="L9" s="7" t="s">
        <v>277</v>
      </c>
      <c r="M9" s="7" t="s">
        <v>70</v>
      </c>
      <c r="N9" s="7" t="s">
        <v>105</v>
      </c>
      <c r="O9" s="7" t="s">
        <v>371</v>
      </c>
      <c r="P9" s="7" t="s">
        <v>314</v>
      </c>
      <c r="Q9" s="7" t="s">
        <v>314</v>
      </c>
      <c r="R9" s="7" t="s">
        <v>314</v>
      </c>
      <c r="S9" s="7" t="s">
        <v>314</v>
      </c>
    </row>
    <row r="10" ht="72" customHeight="1" spans="1:19" x14ac:dyDescent="0.25">
      <c r="A10" s="5" t="s">
        <v>372</v>
      </c>
      <c r="B10" s="5" t="s">
        <v>373</v>
      </c>
      <c r="C10" s="5" t="s">
        <v>374</v>
      </c>
      <c r="D10" s="5" t="s">
        <v>375</v>
      </c>
      <c r="E10" s="5" t="s">
        <v>376</v>
      </c>
      <c r="F10" s="5" t="s">
        <v>377</v>
      </c>
      <c r="G10" s="5" t="s">
        <v>378</v>
      </c>
      <c r="H10" s="5" t="s">
        <v>314</v>
      </c>
      <c r="I10" s="5" t="s">
        <v>22</v>
      </c>
      <c r="J10" s="5" t="s">
        <v>263</v>
      </c>
      <c r="K10" s="5" t="s">
        <v>145</v>
      </c>
      <c r="L10" s="5" t="s">
        <v>277</v>
      </c>
      <c r="M10" s="5" t="s">
        <v>70</v>
      </c>
      <c r="N10" s="5" t="s">
        <v>105</v>
      </c>
      <c r="O10" s="5" t="s">
        <v>379</v>
      </c>
      <c r="P10" s="5" t="s">
        <v>314</v>
      </c>
      <c r="Q10" s="5" t="s">
        <v>314</v>
      </c>
      <c r="R10" s="5" t="s">
        <v>314</v>
      </c>
      <c r="S10" s="5" t="s">
        <v>314</v>
      </c>
    </row>
    <row r="11" ht="72" customHeight="1" spans="1:19" x14ac:dyDescent="0.25">
      <c r="A11" s="7" t="s">
        <v>380</v>
      </c>
      <c r="B11" s="7" t="s">
        <v>373</v>
      </c>
      <c r="C11" s="7" t="s">
        <v>381</v>
      </c>
      <c r="D11" s="7" t="s">
        <v>382</v>
      </c>
      <c r="E11" s="7" t="s">
        <v>383</v>
      </c>
      <c r="F11" s="7" t="s">
        <v>384</v>
      </c>
      <c r="G11" s="7" t="s">
        <v>385</v>
      </c>
      <c r="H11" s="7" t="s">
        <v>314</v>
      </c>
      <c r="I11" s="7" t="s">
        <v>22</v>
      </c>
      <c r="J11" s="7" t="s">
        <v>263</v>
      </c>
      <c r="K11" s="7" t="s">
        <v>145</v>
      </c>
      <c r="L11" s="7" t="s">
        <v>277</v>
      </c>
      <c r="M11" s="7" t="s">
        <v>70</v>
      </c>
      <c r="N11" s="7" t="s">
        <v>105</v>
      </c>
      <c r="O11" s="7" t="s">
        <v>386</v>
      </c>
      <c r="P11" s="7" t="s">
        <v>314</v>
      </c>
      <c r="Q11" s="7" t="s">
        <v>314</v>
      </c>
      <c r="R11" s="7" t="s">
        <v>314</v>
      </c>
      <c r="S11" s="7" t="s">
        <v>314</v>
      </c>
    </row>
    <row r="12" ht="72" customHeight="1" spans="1:19" x14ac:dyDescent="0.25">
      <c r="A12" s="5" t="s">
        <v>387</v>
      </c>
      <c r="B12" s="5" t="s">
        <v>373</v>
      </c>
      <c r="C12" s="5" t="s">
        <v>388</v>
      </c>
      <c r="D12" s="5" t="s">
        <v>389</v>
      </c>
      <c r="E12" s="5" t="s">
        <v>390</v>
      </c>
      <c r="F12" s="5" t="s">
        <v>391</v>
      </c>
      <c r="G12" s="5" t="s">
        <v>392</v>
      </c>
      <c r="H12" s="5" t="s">
        <v>314</v>
      </c>
      <c r="I12" s="5" t="s">
        <v>22</v>
      </c>
      <c r="J12" s="5" t="s">
        <v>263</v>
      </c>
      <c r="K12" s="5" t="s">
        <v>249</v>
      </c>
      <c r="L12" s="5" t="s">
        <v>269</v>
      </c>
      <c r="M12" s="5" t="s">
        <v>66</v>
      </c>
      <c r="N12" s="5" t="s">
        <v>393</v>
      </c>
      <c r="O12" s="5" t="s">
        <v>86</v>
      </c>
      <c r="P12" s="5" t="s">
        <v>314</v>
      </c>
      <c r="Q12" s="5" t="s">
        <v>314</v>
      </c>
      <c r="R12" s="5" t="s">
        <v>314</v>
      </c>
      <c r="S12" s="5" t="s">
        <v>314</v>
      </c>
    </row>
    <row r="13" ht="72" customHeight="1" spans="1:19" x14ac:dyDescent="0.25">
      <c r="A13" s="7" t="s">
        <v>394</v>
      </c>
      <c r="B13" s="7" t="s">
        <v>395</v>
      </c>
      <c r="C13" s="7" t="s">
        <v>396</v>
      </c>
      <c r="D13" s="7" t="s">
        <v>397</v>
      </c>
      <c r="E13" s="7" t="s">
        <v>398</v>
      </c>
      <c r="F13" s="7" t="s">
        <v>399</v>
      </c>
      <c r="G13" s="7" t="s">
        <v>400</v>
      </c>
      <c r="H13" s="7" t="s">
        <v>314</v>
      </c>
      <c r="I13" s="7" t="s">
        <v>22</v>
      </c>
      <c r="J13" s="7" t="s">
        <v>272</v>
      </c>
      <c r="K13" s="7" t="s">
        <v>145</v>
      </c>
      <c r="L13" s="7" t="s">
        <v>277</v>
      </c>
      <c r="M13" s="7" t="s">
        <v>70</v>
      </c>
      <c r="N13" s="7" t="s">
        <v>105</v>
      </c>
      <c r="O13" s="7" t="s">
        <v>401</v>
      </c>
      <c r="P13" s="7" t="s">
        <v>314</v>
      </c>
      <c r="Q13" s="7" t="s">
        <v>314</v>
      </c>
      <c r="R13" s="7" t="s">
        <v>314</v>
      </c>
      <c r="S13" s="7" t="s">
        <v>314</v>
      </c>
    </row>
    <row r="14" ht="22" customHeight="1" spans="1:7" x14ac:dyDescent="0.25">
      <c r="A14" s="27" t="s">
        <v>402</v>
      </c>
      <c r="B14" s="27"/>
      <c r="C14" s="27"/>
      <c r="D14" s="27"/>
      <c r="E14" s="27"/>
      <c r="F14" s="27"/>
      <c r="G14" s="27"/>
    </row>
    <row r="15" ht="72" customHeight="1" spans="1:19" x14ac:dyDescent="0.25">
      <c r="A15" s="7" t="s">
        <v>403</v>
      </c>
      <c r="B15" s="7" t="s">
        <v>404</v>
      </c>
      <c r="C15" s="7" t="s">
        <v>405</v>
      </c>
      <c r="D15" s="7" t="s">
        <v>406</v>
      </c>
      <c r="E15" s="7" t="s">
        <v>407</v>
      </c>
      <c r="F15" s="7" t="s">
        <v>408</v>
      </c>
      <c r="G15" s="7" t="s">
        <v>409</v>
      </c>
      <c r="H15" s="7" t="s">
        <v>314</v>
      </c>
      <c r="I15" s="7" t="s">
        <v>22</v>
      </c>
      <c r="J15" s="7" t="s">
        <v>263</v>
      </c>
      <c r="K15" s="7" t="s">
        <v>249</v>
      </c>
      <c r="L15" s="7" t="s">
        <v>269</v>
      </c>
      <c r="M15" s="7" t="s">
        <v>66</v>
      </c>
      <c r="N15" s="7" t="s">
        <v>410</v>
      </c>
      <c r="O15" s="7" t="s">
        <v>86</v>
      </c>
      <c r="P15" s="7" t="s">
        <v>314</v>
      </c>
      <c r="Q15" s="7" t="s">
        <v>314</v>
      </c>
      <c r="R15" s="7" t="s">
        <v>314</v>
      </c>
      <c r="S15" s="7" t="s">
        <v>314</v>
      </c>
    </row>
    <row r="16" ht="72" customHeight="1" spans="1:19" x14ac:dyDescent="0.25">
      <c r="A16" s="5" t="s">
        <v>411</v>
      </c>
      <c r="B16" s="5" t="s">
        <v>404</v>
      </c>
      <c r="C16" s="5" t="s">
        <v>405</v>
      </c>
      <c r="D16" s="5" t="s">
        <v>412</v>
      </c>
      <c r="E16" s="5" t="s">
        <v>413</v>
      </c>
      <c r="F16" s="5" t="s">
        <v>414</v>
      </c>
      <c r="G16" s="5" t="s">
        <v>415</v>
      </c>
      <c r="H16" s="5" t="s">
        <v>314</v>
      </c>
      <c r="I16" s="5" t="s">
        <v>22</v>
      </c>
      <c r="J16" s="5" t="s">
        <v>263</v>
      </c>
      <c r="K16" s="5" t="s">
        <v>249</v>
      </c>
      <c r="L16" s="5" t="s">
        <v>269</v>
      </c>
      <c r="M16" s="5" t="s">
        <v>66</v>
      </c>
      <c r="N16" s="5" t="s">
        <v>416</v>
      </c>
      <c r="O16" s="5" t="s">
        <v>86</v>
      </c>
      <c r="P16" s="5" t="s">
        <v>314</v>
      </c>
      <c r="Q16" s="5" t="s">
        <v>314</v>
      </c>
      <c r="R16" s="5" t="s">
        <v>314</v>
      </c>
      <c r="S16" s="5" t="s">
        <v>314</v>
      </c>
    </row>
    <row r="17" ht="72" customHeight="1" spans="1:19" x14ac:dyDescent="0.25">
      <c r="A17" s="7" t="s">
        <v>417</v>
      </c>
      <c r="B17" s="7" t="s">
        <v>404</v>
      </c>
      <c r="C17" s="7" t="s">
        <v>405</v>
      </c>
      <c r="D17" s="7" t="s">
        <v>418</v>
      </c>
      <c r="E17" s="7" t="s">
        <v>419</v>
      </c>
      <c r="F17" s="7" t="s">
        <v>420</v>
      </c>
      <c r="G17" s="7" t="s">
        <v>421</v>
      </c>
      <c r="H17" s="7" t="s">
        <v>314</v>
      </c>
      <c r="I17" s="7" t="s">
        <v>22</v>
      </c>
      <c r="J17" s="7" t="s">
        <v>268</v>
      </c>
      <c r="K17" s="7" t="s">
        <v>249</v>
      </c>
      <c r="L17" s="7" t="s">
        <v>269</v>
      </c>
      <c r="M17" s="7" t="s">
        <v>66</v>
      </c>
      <c r="N17" s="7" t="s">
        <v>422</v>
      </c>
      <c r="O17" s="7" t="s">
        <v>86</v>
      </c>
      <c r="P17" s="7" t="s">
        <v>314</v>
      </c>
      <c r="Q17" s="7" t="s">
        <v>314</v>
      </c>
      <c r="R17" s="7" t="s">
        <v>314</v>
      </c>
      <c r="S17" s="7" t="s">
        <v>314</v>
      </c>
    </row>
    <row r="18" ht="72" customHeight="1" spans="1:19" x14ac:dyDescent="0.25">
      <c r="A18" s="5" t="s">
        <v>423</v>
      </c>
      <c r="B18" s="5" t="s">
        <v>404</v>
      </c>
      <c r="C18" s="5" t="s">
        <v>405</v>
      </c>
      <c r="D18" s="5" t="s">
        <v>424</v>
      </c>
      <c r="E18" s="5" t="s">
        <v>425</v>
      </c>
      <c r="F18" s="5" t="s">
        <v>426</v>
      </c>
      <c r="G18" s="5" t="s">
        <v>427</v>
      </c>
      <c r="H18" s="5" t="s">
        <v>314</v>
      </c>
      <c r="I18" s="5" t="s">
        <v>22</v>
      </c>
      <c r="J18" s="5" t="s">
        <v>268</v>
      </c>
      <c r="K18" s="5" t="s">
        <v>249</v>
      </c>
      <c r="L18" s="5" t="s">
        <v>269</v>
      </c>
      <c r="M18" s="5" t="s">
        <v>66</v>
      </c>
      <c r="N18" s="5" t="s">
        <v>428</v>
      </c>
      <c r="O18" s="5" t="s">
        <v>86</v>
      </c>
      <c r="P18" s="5" t="s">
        <v>314</v>
      </c>
      <c r="Q18" s="5" t="s">
        <v>314</v>
      </c>
      <c r="R18" s="5" t="s">
        <v>314</v>
      </c>
      <c r="S18" s="5" t="s">
        <v>314</v>
      </c>
    </row>
    <row r="19" ht="72" customHeight="1" spans="1:19" x14ac:dyDescent="0.25">
      <c r="A19" s="7" t="s">
        <v>429</v>
      </c>
      <c r="B19" s="7" t="s">
        <v>404</v>
      </c>
      <c r="C19" s="7" t="s">
        <v>405</v>
      </c>
      <c r="D19" s="7" t="s">
        <v>430</v>
      </c>
      <c r="E19" s="7" t="s">
        <v>431</v>
      </c>
      <c r="F19" s="7" t="s">
        <v>432</v>
      </c>
      <c r="G19" s="7" t="s">
        <v>433</v>
      </c>
      <c r="H19" s="7" t="s">
        <v>314</v>
      </c>
      <c r="I19" s="7" t="s">
        <v>22</v>
      </c>
      <c r="J19" s="7" t="s">
        <v>268</v>
      </c>
      <c r="K19" s="7" t="s">
        <v>251</v>
      </c>
      <c r="L19" s="7" t="s">
        <v>269</v>
      </c>
      <c r="M19" s="7" t="s">
        <v>66</v>
      </c>
      <c r="N19" s="7" t="s">
        <v>434</v>
      </c>
      <c r="O19" s="7" t="s">
        <v>86</v>
      </c>
      <c r="P19" s="7" t="s">
        <v>314</v>
      </c>
      <c r="Q19" s="7" t="s">
        <v>314</v>
      </c>
      <c r="R19" s="7" t="s">
        <v>314</v>
      </c>
      <c r="S19" s="7" t="s">
        <v>314</v>
      </c>
    </row>
    <row r="20" ht="72" customHeight="1" spans="1:19" x14ac:dyDescent="0.25">
      <c r="A20" s="5" t="s">
        <v>435</v>
      </c>
      <c r="B20" s="5" t="s">
        <v>404</v>
      </c>
      <c r="C20" s="5" t="s">
        <v>405</v>
      </c>
      <c r="D20" s="5" t="s">
        <v>436</v>
      </c>
      <c r="E20" s="5" t="s">
        <v>437</v>
      </c>
      <c r="F20" s="5" t="s">
        <v>438</v>
      </c>
      <c r="G20" s="5" t="s">
        <v>439</v>
      </c>
      <c r="H20" s="5" t="s">
        <v>314</v>
      </c>
      <c r="I20" s="5" t="s">
        <v>22</v>
      </c>
      <c r="J20" s="5" t="s">
        <v>268</v>
      </c>
      <c r="K20" s="5" t="s">
        <v>251</v>
      </c>
      <c r="L20" s="5" t="s">
        <v>277</v>
      </c>
      <c r="M20" s="5" t="s">
        <v>70</v>
      </c>
      <c r="N20" s="5" t="s">
        <v>105</v>
      </c>
      <c r="O20" s="5" t="s">
        <v>440</v>
      </c>
      <c r="P20" s="5" t="s">
        <v>314</v>
      </c>
      <c r="Q20" s="5" t="s">
        <v>314</v>
      </c>
      <c r="R20" s="5" t="s">
        <v>314</v>
      </c>
      <c r="S20" s="5" t="s">
        <v>314</v>
      </c>
    </row>
    <row r="21" ht="72" customHeight="1" spans="1:19" x14ac:dyDescent="0.25">
      <c r="A21" s="7" t="s">
        <v>441</v>
      </c>
      <c r="B21" s="7" t="s">
        <v>404</v>
      </c>
      <c r="C21" s="7" t="s">
        <v>405</v>
      </c>
      <c r="D21" s="7" t="s">
        <v>442</v>
      </c>
      <c r="E21" s="7" t="s">
        <v>443</v>
      </c>
      <c r="F21" s="7" t="s">
        <v>444</v>
      </c>
      <c r="G21" s="7" t="s">
        <v>445</v>
      </c>
      <c r="H21" s="7" t="s">
        <v>314</v>
      </c>
      <c r="I21" s="7" t="s">
        <v>22</v>
      </c>
      <c r="J21" s="7" t="s">
        <v>272</v>
      </c>
      <c r="K21" s="7" t="s">
        <v>253</v>
      </c>
      <c r="L21" s="7" t="s">
        <v>269</v>
      </c>
      <c r="M21" s="7" t="s">
        <v>66</v>
      </c>
      <c r="N21" s="7" t="s">
        <v>446</v>
      </c>
      <c r="O21" s="7" t="s">
        <v>86</v>
      </c>
      <c r="P21" s="7" t="s">
        <v>314</v>
      </c>
      <c r="Q21" s="7" t="s">
        <v>314</v>
      </c>
      <c r="R21" s="7" t="s">
        <v>314</v>
      </c>
      <c r="S21" s="7" t="s">
        <v>314</v>
      </c>
    </row>
    <row r="22" ht="72" customHeight="1" spans="1:19" x14ac:dyDescent="0.25">
      <c r="A22" s="5" t="s">
        <v>447</v>
      </c>
      <c r="B22" s="5" t="s">
        <v>404</v>
      </c>
      <c r="C22" s="5" t="s">
        <v>405</v>
      </c>
      <c r="D22" s="5" t="s">
        <v>448</v>
      </c>
      <c r="E22" s="5" t="s">
        <v>449</v>
      </c>
      <c r="F22" s="5" t="s">
        <v>450</v>
      </c>
      <c r="G22" s="5" t="s">
        <v>451</v>
      </c>
      <c r="H22" s="5" t="s">
        <v>314</v>
      </c>
      <c r="I22" s="5" t="s">
        <v>22</v>
      </c>
      <c r="J22" s="5" t="s">
        <v>272</v>
      </c>
      <c r="K22" s="5" t="s">
        <v>253</v>
      </c>
      <c r="L22" s="5" t="s">
        <v>269</v>
      </c>
      <c r="M22" s="5" t="s">
        <v>66</v>
      </c>
      <c r="N22" s="5" t="s">
        <v>452</v>
      </c>
      <c r="O22" s="5" t="s">
        <v>86</v>
      </c>
      <c r="P22" s="5" t="s">
        <v>314</v>
      </c>
      <c r="Q22" s="5" t="s">
        <v>314</v>
      </c>
      <c r="R22" s="5" t="s">
        <v>314</v>
      </c>
      <c r="S22" s="5" t="s">
        <v>314</v>
      </c>
    </row>
    <row r="23" ht="72" customHeight="1" spans="1:19" x14ac:dyDescent="0.25">
      <c r="A23" s="7" t="s">
        <v>453</v>
      </c>
      <c r="B23" s="7" t="s">
        <v>404</v>
      </c>
      <c r="C23" s="7" t="s">
        <v>405</v>
      </c>
      <c r="D23" s="7" t="s">
        <v>454</v>
      </c>
      <c r="E23" s="7" t="s">
        <v>455</v>
      </c>
      <c r="F23" s="7" t="s">
        <v>456</v>
      </c>
      <c r="G23" s="7" t="s">
        <v>457</v>
      </c>
      <c r="H23" s="7" t="s">
        <v>314</v>
      </c>
      <c r="I23" s="7" t="s">
        <v>22</v>
      </c>
      <c r="J23" s="7" t="s">
        <v>272</v>
      </c>
      <c r="K23" s="7" t="s">
        <v>253</v>
      </c>
      <c r="L23" s="7" t="s">
        <v>277</v>
      </c>
      <c r="M23" s="7" t="s">
        <v>70</v>
      </c>
      <c r="N23" s="7" t="s">
        <v>105</v>
      </c>
      <c r="O23" s="7" t="s">
        <v>458</v>
      </c>
      <c r="P23" s="7" t="s">
        <v>314</v>
      </c>
      <c r="Q23" s="7" t="s">
        <v>314</v>
      </c>
      <c r="R23" s="7" t="s">
        <v>314</v>
      </c>
      <c r="S23" s="7" t="s">
        <v>314</v>
      </c>
    </row>
    <row r="24" ht="22" customHeight="1" spans="1:7" x14ac:dyDescent="0.25">
      <c r="A24" s="27" t="s">
        <v>459</v>
      </c>
      <c r="B24" s="27"/>
      <c r="C24" s="27"/>
      <c r="D24" s="27"/>
      <c r="E24" s="27"/>
      <c r="F24" s="27"/>
      <c r="G24" s="27"/>
    </row>
    <row r="25" ht="72" customHeight="1" spans="1:19" x14ac:dyDescent="0.25">
      <c r="A25" s="7" t="s">
        <v>460</v>
      </c>
      <c r="B25" s="7" t="s">
        <v>461</v>
      </c>
      <c r="C25" s="7" t="s">
        <v>462</v>
      </c>
      <c r="D25" s="7" t="s">
        <v>463</v>
      </c>
      <c r="E25" s="7" t="s">
        <v>464</v>
      </c>
      <c r="F25" s="7" t="s">
        <v>465</v>
      </c>
      <c r="G25" s="7" t="s">
        <v>466</v>
      </c>
      <c r="H25" s="7" t="s">
        <v>314</v>
      </c>
      <c r="I25" s="7" t="s">
        <v>22</v>
      </c>
      <c r="J25" s="7" t="s">
        <v>263</v>
      </c>
      <c r="K25" s="7" t="s">
        <v>249</v>
      </c>
      <c r="L25" s="7" t="s">
        <v>277</v>
      </c>
      <c r="M25" s="7" t="s">
        <v>70</v>
      </c>
      <c r="N25" s="7" t="s">
        <v>105</v>
      </c>
      <c r="O25" s="7" t="s">
        <v>467</v>
      </c>
      <c r="P25" s="7" t="s">
        <v>314</v>
      </c>
      <c r="Q25" s="7" t="s">
        <v>314</v>
      </c>
      <c r="R25" s="7" t="s">
        <v>314</v>
      </c>
      <c r="S25" s="7" t="s">
        <v>314</v>
      </c>
    </row>
    <row r="26" ht="72" customHeight="1" spans="1:19" x14ac:dyDescent="0.25">
      <c r="A26" s="5" t="s">
        <v>468</v>
      </c>
      <c r="B26" s="5" t="s">
        <v>461</v>
      </c>
      <c r="C26" s="5" t="s">
        <v>469</v>
      </c>
      <c r="D26" s="5" t="s">
        <v>470</v>
      </c>
      <c r="E26" s="5" t="s">
        <v>471</v>
      </c>
      <c r="F26" s="5" t="s">
        <v>472</v>
      </c>
      <c r="G26" s="5" t="s">
        <v>473</v>
      </c>
      <c r="H26" s="5" t="s">
        <v>314</v>
      </c>
      <c r="I26" s="5" t="s">
        <v>22</v>
      </c>
      <c r="J26" s="5" t="s">
        <v>263</v>
      </c>
      <c r="K26" s="5" t="s">
        <v>249</v>
      </c>
      <c r="L26" s="5" t="s">
        <v>269</v>
      </c>
      <c r="M26" s="5" t="s">
        <v>66</v>
      </c>
      <c r="N26" s="5" t="s">
        <v>474</v>
      </c>
      <c r="O26" s="5" t="s">
        <v>86</v>
      </c>
      <c r="P26" s="5" t="s">
        <v>314</v>
      </c>
      <c r="Q26" s="5" t="s">
        <v>314</v>
      </c>
      <c r="R26" s="5" t="s">
        <v>314</v>
      </c>
      <c r="S26" s="5" t="s">
        <v>314</v>
      </c>
    </row>
    <row r="27" ht="72" customHeight="1" spans="1:19" x14ac:dyDescent="0.25">
      <c r="A27" s="7" t="s">
        <v>475</v>
      </c>
      <c r="B27" s="7" t="s">
        <v>461</v>
      </c>
      <c r="C27" s="7" t="s">
        <v>476</v>
      </c>
      <c r="D27" s="7" t="s">
        <v>477</v>
      </c>
      <c r="E27" s="7" t="s">
        <v>478</v>
      </c>
      <c r="F27" s="7" t="s">
        <v>479</v>
      </c>
      <c r="G27" s="7" t="s">
        <v>480</v>
      </c>
      <c r="H27" s="7" t="s">
        <v>314</v>
      </c>
      <c r="I27" s="7" t="s">
        <v>22</v>
      </c>
      <c r="J27" s="7" t="s">
        <v>268</v>
      </c>
      <c r="K27" s="7" t="s">
        <v>253</v>
      </c>
      <c r="L27" s="7" t="s">
        <v>277</v>
      </c>
      <c r="M27" s="7" t="s">
        <v>70</v>
      </c>
      <c r="N27" s="7" t="s">
        <v>105</v>
      </c>
      <c r="O27" s="7" t="s">
        <v>481</v>
      </c>
      <c r="P27" s="7" t="s">
        <v>314</v>
      </c>
      <c r="Q27" s="7" t="s">
        <v>314</v>
      </c>
      <c r="R27" s="7" t="s">
        <v>314</v>
      </c>
      <c r="S27" s="7" t="s">
        <v>314</v>
      </c>
    </row>
    <row r="28" ht="72" customHeight="1" spans="1:19" x14ac:dyDescent="0.25">
      <c r="A28" s="5" t="s">
        <v>482</v>
      </c>
      <c r="B28" s="5" t="s">
        <v>483</v>
      </c>
      <c r="C28" s="5" t="s">
        <v>484</v>
      </c>
      <c r="D28" s="5" t="s">
        <v>485</v>
      </c>
      <c r="E28" s="5" t="s">
        <v>486</v>
      </c>
      <c r="F28" s="5" t="s">
        <v>487</v>
      </c>
      <c r="G28" s="5" t="s">
        <v>488</v>
      </c>
      <c r="H28" s="5" t="s">
        <v>314</v>
      </c>
      <c r="I28" s="5" t="s">
        <v>22</v>
      </c>
      <c r="J28" s="5" t="s">
        <v>268</v>
      </c>
      <c r="K28" s="5" t="s">
        <v>249</v>
      </c>
      <c r="L28" s="5" t="s">
        <v>269</v>
      </c>
      <c r="M28" s="5" t="s">
        <v>66</v>
      </c>
      <c r="N28" s="5" t="s">
        <v>489</v>
      </c>
      <c r="O28" s="5" t="s">
        <v>86</v>
      </c>
      <c r="P28" s="5" t="s">
        <v>314</v>
      </c>
      <c r="Q28" s="5" t="s">
        <v>314</v>
      </c>
      <c r="R28" s="5" t="s">
        <v>314</v>
      </c>
      <c r="S28" s="5" t="s">
        <v>314</v>
      </c>
    </row>
    <row r="29" ht="72" customHeight="1" spans="1:19" x14ac:dyDescent="0.25">
      <c r="A29" s="7" t="s">
        <v>490</v>
      </c>
      <c r="B29" s="7" t="s">
        <v>491</v>
      </c>
      <c r="C29" s="7" t="s">
        <v>492</v>
      </c>
      <c r="D29" s="7" t="s">
        <v>493</v>
      </c>
      <c r="E29" s="7" t="s">
        <v>494</v>
      </c>
      <c r="F29" s="7" t="s">
        <v>495</v>
      </c>
      <c r="G29" s="7" t="s">
        <v>496</v>
      </c>
      <c r="H29" s="7" t="s">
        <v>314</v>
      </c>
      <c r="I29" s="7" t="s">
        <v>22</v>
      </c>
      <c r="J29" s="7" t="s">
        <v>268</v>
      </c>
      <c r="K29" s="7" t="s">
        <v>249</v>
      </c>
      <c r="L29" s="7" t="s">
        <v>269</v>
      </c>
      <c r="M29" s="7" t="s">
        <v>66</v>
      </c>
      <c r="N29" s="7" t="s">
        <v>497</v>
      </c>
      <c r="O29" s="7" t="s">
        <v>86</v>
      </c>
      <c r="P29" s="7" t="s">
        <v>314</v>
      </c>
      <c r="Q29" s="7" t="s">
        <v>314</v>
      </c>
      <c r="R29" s="7" t="s">
        <v>314</v>
      </c>
      <c r="S29" s="7" t="s">
        <v>314</v>
      </c>
    </row>
    <row r="30" ht="72" customHeight="1" spans="1:19" x14ac:dyDescent="0.25">
      <c r="A30" s="5" t="s">
        <v>498</v>
      </c>
      <c r="B30" s="5" t="s">
        <v>499</v>
      </c>
      <c r="C30" s="5" t="s">
        <v>499</v>
      </c>
      <c r="D30" s="5" t="s">
        <v>500</v>
      </c>
      <c r="E30" s="5" t="s">
        <v>501</v>
      </c>
      <c r="F30" s="5" t="s">
        <v>502</v>
      </c>
      <c r="G30" s="5" t="s">
        <v>503</v>
      </c>
      <c r="H30" s="5" t="s">
        <v>314</v>
      </c>
      <c r="I30" s="5" t="s">
        <v>22</v>
      </c>
      <c r="J30" s="5" t="s">
        <v>268</v>
      </c>
      <c r="K30" s="5" t="s">
        <v>249</v>
      </c>
      <c r="L30" s="5" t="s">
        <v>269</v>
      </c>
      <c r="M30" s="5" t="s">
        <v>66</v>
      </c>
      <c r="N30" s="5" t="s">
        <v>504</v>
      </c>
      <c r="O30" s="5" t="s">
        <v>86</v>
      </c>
      <c r="P30" s="5" t="s">
        <v>314</v>
      </c>
      <c r="Q30" s="5" t="s">
        <v>314</v>
      </c>
      <c r="R30" s="5" t="s">
        <v>314</v>
      </c>
      <c r="S30" s="5" t="s">
        <v>314</v>
      </c>
    </row>
    <row r="31" ht="72" customHeight="1" spans="1:19" x14ac:dyDescent="0.25">
      <c r="A31" s="7" t="s">
        <v>505</v>
      </c>
      <c r="B31" s="7" t="s">
        <v>506</v>
      </c>
      <c r="C31" s="7" t="s">
        <v>507</v>
      </c>
      <c r="D31" s="7" t="s">
        <v>508</v>
      </c>
      <c r="E31" s="7" t="s">
        <v>509</v>
      </c>
      <c r="F31" s="7" t="s">
        <v>510</v>
      </c>
      <c r="G31" s="7" t="s">
        <v>511</v>
      </c>
      <c r="H31" s="7" t="s">
        <v>314</v>
      </c>
      <c r="I31" s="7" t="s">
        <v>22</v>
      </c>
      <c r="J31" s="7" t="s">
        <v>268</v>
      </c>
      <c r="K31" s="7" t="s">
        <v>249</v>
      </c>
      <c r="L31" s="7" t="s">
        <v>269</v>
      </c>
      <c r="M31" s="7" t="s">
        <v>66</v>
      </c>
      <c r="N31" s="7" t="s">
        <v>512</v>
      </c>
      <c r="O31" s="7" t="s">
        <v>86</v>
      </c>
      <c r="P31" s="7" t="s">
        <v>314</v>
      </c>
      <c r="Q31" s="7" t="s">
        <v>314</v>
      </c>
      <c r="R31" s="7" t="s">
        <v>314</v>
      </c>
      <c r="S31" s="7" t="s">
        <v>314</v>
      </c>
    </row>
    <row r="32" ht="72" customHeight="1" spans="1:19" x14ac:dyDescent="0.25">
      <c r="A32" s="5" t="s">
        <v>513</v>
      </c>
      <c r="B32" s="5" t="s">
        <v>514</v>
      </c>
      <c r="C32" s="5" t="s">
        <v>514</v>
      </c>
      <c r="D32" s="5" t="s">
        <v>515</v>
      </c>
      <c r="E32" s="5" t="s">
        <v>516</v>
      </c>
      <c r="F32" s="5" t="s">
        <v>517</v>
      </c>
      <c r="G32" s="5" t="s">
        <v>518</v>
      </c>
      <c r="H32" s="5" t="s">
        <v>314</v>
      </c>
      <c r="I32" s="5" t="s">
        <v>22</v>
      </c>
      <c r="J32" s="5" t="s">
        <v>272</v>
      </c>
      <c r="K32" s="5" t="s">
        <v>249</v>
      </c>
      <c r="L32" s="5" t="s">
        <v>269</v>
      </c>
      <c r="M32" s="5" t="s">
        <v>66</v>
      </c>
      <c r="N32" s="5" t="s">
        <v>519</v>
      </c>
      <c r="O32" s="5" t="s">
        <v>86</v>
      </c>
      <c r="P32" s="5" t="s">
        <v>314</v>
      </c>
      <c r="Q32" s="5" t="s">
        <v>314</v>
      </c>
      <c r="R32" s="5" t="s">
        <v>314</v>
      </c>
      <c r="S32" s="5" t="s">
        <v>314</v>
      </c>
    </row>
    <row r="33" ht="72" customHeight="1" spans="1:19" x14ac:dyDescent="0.25">
      <c r="A33" s="7" t="s">
        <v>520</v>
      </c>
      <c r="B33" s="7" t="s">
        <v>521</v>
      </c>
      <c r="C33" s="7" t="s">
        <v>521</v>
      </c>
      <c r="D33" s="7" t="s">
        <v>522</v>
      </c>
      <c r="E33" s="7" t="s">
        <v>523</v>
      </c>
      <c r="F33" s="7" t="s">
        <v>524</v>
      </c>
      <c r="G33" s="7" t="s">
        <v>525</v>
      </c>
      <c r="H33" s="7" t="s">
        <v>314</v>
      </c>
      <c r="I33" s="7" t="s">
        <v>22</v>
      </c>
      <c r="J33" s="7" t="s">
        <v>272</v>
      </c>
      <c r="K33" s="7" t="s">
        <v>249</v>
      </c>
      <c r="L33" s="7" t="s">
        <v>269</v>
      </c>
      <c r="M33" s="7" t="s">
        <v>66</v>
      </c>
      <c r="N33" s="7" t="s">
        <v>526</v>
      </c>
      <c r="O33" s="7" t="s">
        <v>86</v>
      </c>
      <c r="P33" s="7" t="s">
        <v>314</v>
      </c>
      <c r="Q33" s="7" t="s">
        <v>314</v>
      </c>
      <c r="R33" s="7" t="s">
        <v>314</v>
      </c>
      <c r="S33" s="7" t="s">
        <v>314</v>
      </c>
    </row>
    <row r="34" ht="72" customHeight="1" spans="1:19" x14ac:dyDescent="0.25">
      <c r="A34" s="5" t="s">
        <v>527</v>
      </c>
      <c r="B34" s="5" t="s">
        <v>528</v>
      </c>
      <c r="C34" s="5" t="s">
        <v>529</v>
      </c>
      <c r="D34" s="5" t="s">
        <v>530</v>
      </c>
      <c r="E34" s="5" t="s">
        <v>531</v>
      </c>
      <c r="F34" s="5" t="s">
        <v>532</v>
      </c>
      <c r="G34" s="5" t="s">
        <v>533</v>
      </c>
      <c r="H34" s="5" t="s">
        <v>314</v>
      </c>
      <c r="I34" s="5" t="s">
        <v>22</v>
      </c>
      <c r="J34" s="5" t="s">
        <v>272</v>
      </c>
      <c r="K34" s="5" t="s">
        <v>253</v>
      </c>
      <c r="L34" s="5" t="s">
        <v>269</v>
      </c>
      <c r="M34" s="5" t="s">
        <v>66</v>
      </c>
      <c r="N34" s="5" t="s">
        <v>534</v>
      </c>
      <c r="O34" s="5" t="s">
        <v>86</v>
      </c>
      <c r="P34" s="5" t="s">
        <v>314</v>
      </c>
      <c r="Q34" s="5" t="s">
        <v>314</v>
      </c>
      <c r="R34" s="5" t="s">
        <v>314</v>
      </c>
      <c r="S34" s="5" t="s">
        <v>314</v>
      </c>
    </row>
    <row r="35" ht="72" customHeight="1" spans="1:19" x14ac:dyDescent="0.25">
      <c r="A35" s="7" t="s">
        <v>535</v>
      </c>
      <c r="B35" s="7" t="s">
        <v>528</v>
      </c>
      <c r="C35" s="7" t="s">
        <v>536</v>
      </c>
      <c r="D35" s="7" t="s">
        <v>537</v>
      </c>
      <c r="E35" s="7" t="s">
        <v>538</v>
      </c>
      <c r="F35" s="7" t="s">
        <v>539</v>
      </c>
      <c r="G35" s="7" t="s">
        <v>540</v>
      </c>
      <c r="H35" s="7" t="s">
        <v>314</v>
      </c>
      <c r="I35" s="7" t="s">
        <v>22</v>
      </c>
      <c r="J35" s="7" t="s">
        <v>263</v>
      </c>
      <c r="K35" s="7" t="s">
        <v>249</v>
      </c>
      <c r="L35" s="7" t="s">
        <v>269</v>
      </c>
      <c r="M35" s="7" t="s">
        <v>66</v>
      </c>
      <c r="N35" s="7" t="s">
        <v>541</v>
      </c>
      <c r="O35" s="7" t="s">
        <v>86</v>
      </c>
      <c r="P35" s="7" t="s">
        <v>314</v>
      </c>
      <c r="Q35" s="7" t="s">
        <v>314</v>
      </c>
      <c r="R35" s="7" t="s">
        <v>314</v>
      </c>
      <c r="S35" s="7" t="s">
        <v>314</v>
      </c>
    </row>
    <row r="36" ht="22" customHeight="1" spans="1:7" x14ac:dyDescent="0.25">
      <c r="A36" s="27" t="s">
        <v>542</v>
      </c>
      <c r="B36" s="27"/>
      <c r="C36" s="27"/>
      <c r="D36" s="27"/>
      <c r="E36" s="27"/>
      <c r="F36" s="27"/>
      <c r="G36" s="27"/>
    </row>
    <row r="37" ht="72" customHeight="1" spans="1:19" x14ac:dyDescent="0.25">
      <c r="A37" s="7" t="s">
        <v>543</v>
      </c>
      <c r="B37" s="7" t="s">
        <v>544</v>
      </c>
      <c r="C37" s="7" t="s">
        <v>545</v>
      </c>
      <c r="D37" s="7" t="s">
        <v>546</v>
      </c>
      <c r="E37" s="7" t="s">
        <v>547</v>
      </c>
      <c r="F37" s="7" t="s">
        <v>548</v>
      </c>
      <c r="G37" s="7" t="s">
        <v>549</v>
      </c>
      <c r="H37" s="7" t="s">
        <v>314</v>
      </c>
      <c r="I37" s="7" t="s">
        <v>22</v>
      </c>
      <c r="J37" s="7" t="s">
        <v>268</v>
      </c>
      <c r="K37" s="7" t="s">
        <v>145</v>
      </c>
      <c r="L37" s="7" t="s">
        <v>277</v>
      </c>
      <c r="M37" s="7" t="s">
        <v>70</v>
      </c>
      <c r="N37" s="7" t="s">
        <v>105</v>
      </c>
      <c r="O37" s="7" t="s">
        <v>550</v>
      </c>
      <c r="P37" s="7" t="s">
        <v>314</v>
      </c>
      <c r="Q37" s="7" t="s">
        <v>314</v>
      </c>
      <c r="R37" s="7" t="s">
        <v>314</v>
      </c>
      <c r="S37" s="7" t="s">
        <v>314</v>
      </c>
    </row>
    <row r="38" ht="72" customHeight="1" spans="1:19" x14ac:dyDescent="0.25">
      <c r="A38" s="5" t="s">
        <v>551</v>
      </c>
      <c r="B38" s="5" t="s">
        <v>544</v>
      </c>
      <c r="C38" s="5" t="s">
        <v>552</v>
      </c>
      <c r="D38" s="5" t="s">
        <v>553</v>
      </c>
      <c r="E38" s="5" t="s">
        <v>554</v>
      </c>
      <c r="F38" s="5" t="s">
        <v>555</v>
      </c>
      <c r="G38" s="5" t="s">
        <v>556</v>
      </c>
      <c r="H38" s="5" t="s">
        <v>314</v>
      </c>
      <c r="I38" s="5" t="s">
        <v>22</v>
      </c>
      <c r="J38" s="5" t="s">
        <v>263</v>
      </c>
      <c r="K38" s="5" t="s">
        <v>249</v>
      </c>
      <c r="L38" s="5" t="s">
        <v>269</v>
      </c>
      <c r="M38" s="5" t="s">
        <v>66</v>
      </c>
      <c r="N38" s="5" t="s">
        <v>557</v>
      </c>
      <c r="O38" s="5" t="s">
        <v>86</v>
      </c>
      <c r="P38" s="5" t="s">
        <v>314</v>
      </c>
      <c r="Q38" s="5" t="s">
        <v>314</v>
      </c>
      <c r="R38" s="5" t="s">
        <v>314</v>
      </c>
      <c r="S38" s="5" t="s">
        <v>314</v>
      </c>
    </row>
    <row r="39" ht="72" customHeight="1" spans="1:19" x14ac:dyDescent="0.25">
      <c r="A39" s="7" t="s">
        <v>558</v>
      </c>
      <c r="B39" s="7" t="s">
        <v>544</v>
      </c>
      <c r="C39" s="7" t="s">
        <v>559</v>
      </c>
      <c r="D39" s="7" t="s">
        <v>560</v>
      </c>
      <c r="E39" s="7" t="s">
        <v>561</v>
      </c>
      <c r="F39" s="7" t="s">
        <v>562</v>
      </c>
      <c r="G39" s="7" t="s">
        <v>563</v>
      </c>
      <c r="H39" s="7" t="s">
        <v>314</v>
      </c>
      <c r="I39" s="7" t="s">
        <v>22</v>
      </c>
      <c r="J39" s="7" t="s">
        <v>263</v>
      </c>
      <c r="K39" s="7" t="s">
        <v>249</v>
      </c>
      <c r="L39" s="7" t="s">
        <v>269</v>
      </c>
      <c r="M39" s="7" t="s">
        <v>66</v>
      </c>
      <c r="N39" s="7" t="s">
        <v>564</v>
      </c>
      <c r="O39" s="7" t="s">
        <v>86</v>
      </c>
      <c r="P39" s="7" t="s">
        <v>314</v>
      </c>
      <c r="Q39" s="7" t="s">
        <v>314</v>
      </c>
      <c r="R39" s="7" t="s">
        <v>314</v>
      </c>
      <c r="S39" s="7" t="s">
        <v>314</v>
      </c>
    </row>
    <row r="40" ht="72" customHeight="1" spans="1:19" x14ac:dyDescent="0.25">
      <c r="A40" s="5" t="s">
        <v>565</v>
      </c>
      <c r="B40" s="5" t="s">
        <v>566</v>
      </c>
      <c r="C40" s="5" t="s">
        <v>567</v>
      </c>
      <c r="D40" s="5" t="s">
        <v>568</v>
      </c>
      <c r="E40" s="5" t="s">
        <v>569</v>
      </c>
      <c r="F40" s="5" t="s">
        <v>570</v>
      </c>
      <c r="G40" s="5" t="s">
        <v>571</v>
      </c>
      <c r="H40" s="5" t="s">
        <v>314</v>
      </c>
      <c r="I40" s="5" t="s">
        <v>22</v>
      </c>
      <c r="J40" s="5" t="s">
        <v>263</v>
      </c>
      <c r="K40" s="5" t="s">
        <v>249</v>
      </c>
      <c r="L40" s="5" t="s">
        <v>277</v>
      </c>
      <c r="M40" s="5" t="s">
        <v>70</v>
      </c>
      <c r="N40" s="5" t="s">
        <v>105</v>
      </c>
      <c r="O40" s="5" t="s">
        <v>572</v>
      </c>
      <c r="P40" s="5" t="s">
        <v>314</v>
      </c>
      <c r="Q40" s="5" t="s">
        <v>314</v>
      </c>
      <c r="R40" s="5" t="s">
        <v>314</v>
      </c>
      <c r="S40" s="5" t="s">
        <v>314</v>
      </c>
    </row>
    <row r="41" ht="72" customHeight="1" spans="1:19" x14ac:dyDescent="0.25">
      <c r="A41" s="7" t="s">
        <v>573</v>
      </c>
      <c r="B41" s="7" t="s">
        <v>528</v>
      </c>
      <c r="C41" s="7" t="s">
        <v>574</v>
      </c>
      <c r="D41" s="7" t="s">
        <v>575</v>
      </c>
      <c r="E41" s="7" t="s">
        <v>576</v>
      </c>
      <c r="F41" s="7" t="s">
        <v>577</v>
      </c>
      <c r="G41" s="7" t="s">
        <v>578</v>
      </c>
      <c r="H41" s="7" t="s">
        <v>314</v>
      </c>
      <c r="I41" s="7" t="s">
        <v>22</v>
      </c>
      <c r="J41" s="7" t="s">
        <v>272</v>
      </c>
      <c r="K41" s="7" t="s">
        <v>145</v>
      </c>
      <c r="L41" s="7" t="s">
        <v>277</v>
      </c>
      <c r="M41" s="7" t="s">
        <v>70</v>
      </c>
      <c r="N41" s="7" t="s">
        <v>105</v>
      </c>
      <c r="O41" s="7" t="s">
        <v>574</v>
      </c>
      <c r="P41" s="7" t="s">
        <v>314</v>
      </c>
      <c r="Q41" s="7" t="s">
        <v>314</v>
      </c>
      <c r="R41" s="7" t="s">
        <v>314</v>
      </c>
      <c r="S41" s="7" t="s">
        <v>314</v>
      </c>
    </row>
    <row r="42" ht="72" customHeight="1" spans="1:19" x14ac:dyDescent="0.25">
      <c r="A42" s="5" t="s">
        <v>579</v>
      </c>
      <c r="B42" s="5" t="s">
        <v>528</v>
      </c>
      <c r="C42" s="5" t="s">
        <v>580</v>
      </c>
      <c r="D42" s="5" t="s">
        <v>581</v>
      </c>
      <c r="E42" s="5" t="s">
        <v>582</v>
      </c>
      <c r="F42" s="5" t="s">
        <v>583</v>
      </c>
      <c r="G42" s="5" t="s">
        <v>584</v>
      </c>
      <c r="H42" s="5" t="s">
        <v>314</v>
      </c>
      <c r="I42" s="5" t="s">
        <v>22</v>
      </c>
      <c r="J42" s="5" t="s">
        <v>268</v>
      </c>
      <c r="K42" s="5" t="s">
        <v>251</v>
      </c>
      <c r="L42" s="5" t="s">
        <v>269</v>
      </c>
      <c r="M42" s="5" t="s">
        <v>66</v>
      </c>
      <c r="N42" s="5" t="s">
        <v>585</v>
      </c>
      <c r="O42" s="5" t="s">
        <v>86</v>
      </c>
      <c r="P42" s="5" t="s">
        <v>314</v>
      </c>
      <c r="Q42" s="5" t="s">
        <v>314</v>
      </c>
      <c r="R42" s="5" t="s">
        <v>314</v>
      </c>
      <c r="S42" s="5" t="s">
        <v>314</v>
      </c>
    </row>
    <row r="43" ht="22" customHeight="1" spans="1:7" x14ac:dyDescent="0.25">
      <c r="A43" s="27" t="s">
        <v>586</v>
      </c>
      <c r="B43" s="27"/>
      <c r="C43" s="27"/>
      <c r="D43" s="27"/>
      <c r="E43" s="27"/>
      <c r="F43" s="27"/>
      <c r="G43" s="27"/>
    </row>
    <row r="44" ht="72" customHeight="1" spans="1:19" x14ac:dyDescent="0.25">
      <c r="A44" s="7" t="s">
        <v>587</v>
      </c>
      <c r="B44" s="7" t="s">
        <v>588</v>
      </c>
      <c r="C44" s="7" t="s">
        <v>589</v>
      </c>
      <c r="D44" s="7" t="s">
        <v>590</v>
      </c>
      <c r="E44" s="7" t="s">
        <v>591</v>
      </c>
      <c r="F44" s="7" t="s">
        <v>592</v>
      </c>
      <c r="G44" s="7" t="s">
        <v>593</v>
      </c>
      <c r="H44" s="7" t="s">
        <v>314</v>
      </c>
      <c r="I44" s="7" t="s">
        <v>22</v>
      </c>
      <c r="J44" s="7" t="s">
        <v>263</v>
      </c>
      <c r="K44" s="7" t="s">
        <v>249</v>
      </c>
      <c r="L44" s="7" t="s">
        <v>269</v>
      </c>
      <c r="M44" s="7" t="s">
        <v>66</v>
      </c>
      <c r="N44" s="7" t="s">
        <v>594</v>
      </c>
      <c r="O44" s="7" t="s">
        <v>86</v>
      </c>
      <c r="P44" s="7" t="s">
        <v>314</v>
      </c>
      <c r="Q44" s="7" t="s">
        <v>314</v>
      </c>
      <c r="R44" s="7" t="s">
        <v>314</v>
      </c>
      <c r="S44" s="7" t="s">
        <v>314</v>
      </c>
    </row>
    <row r="45" ht="72" customHeight="1" spans="1:19" x14ac:dyDescent="0.25">
      <c r="A45" s="5" t="s">
        <v>595</v>
      </c>
      <c r="B45" s="5" t="s">
        <v>588</v>
      </c>
      <c r="C45" s="5" t="s">
        <v>596</v>
      </c>
      <c r="D45" s="5" t="s">
        <v>597</v>
      </c>
      <c r="E45" s="5" t="s">
        <v>598</v>
      </c>
      <c r="F45" s="5" t="s">
        <v>599</v>
      </c>
      <c r="G45" s="5" t="s">
        <v>600</v>
      </c>
      <c r="H45" s="5" t="s">
        <v>314</v>
      </c>
      <c r="I45" s="5" t="s">
        <v>22</v>
      </c>
      <c r="J45" s="5" t="s">
        <v>268</v>
      </c>
      <c r="K45" s="5" t="s">
        <v>253</v>
      </c>
      <c r="L45" s="5" t="s">
        <v>269</v>
      </c>
      <c r="M45" s="5" t="s">
        <v>66</v>
      </c>
      <c r="N45" s="5" t="s">
        <v>601</v>
      </c>
      <c r="O45" s="5" t="s">
        <v>86</v>
      </c>
      <c r="P45" s="5" t="s">
        <v>314</v>
      </c>
      <c r="Q45" s="5" t="s">
        <v>314</v>
      </c>
      <c r="R45" s="5" t="s">
        <v>314</v>
      </c>
      <c r="S45" s="5" t="s">
        <v>314</v>
      </c>
    </row>
    <row r="46" ht="72" customHeight="1" spans="1:19" x14ac:dyDescent="0.25">
      <c r="A46" s="7" t="s">
        <v>602</v>
      </c>
      <c r="B46" s="7" t="s">
        <v>588</v>
      </c>
      <c r="C46" s="7" t="s">
        <v>603</v>
      </c>
      <c r="D46" s="7" t="s">
        <v>604</v>
      </c>
      <c r="E46" s="7" t="s">
        <v>605</v>
      </c>
      <c r="F46" s="7" t="s">
        <v>606</v>
      </c>
      <c r="G46" s="7" t="s">
        <v>607</v>
      </c>
      <c r="H46" s="7" t="s">
        <v>314</v>
      </c>
      <c r="I46" s="7" t="s">
        <v>22</v>
      </c>
      <c r="J46" s="7" t="s">
        <v>268</v>
      </c>
      <c r="K46" s="7" t="s">
        <v>249</v>
      </c>
      <c r="L46" s="7" t="s">
        <v>269</v>
      </c>
      <c r="M46" s="7" t="s">
        <v>66</v>
      </c>
      <c r="N46" s="7" t="s">
        <v>608</v>
      </c>
      <c r="O46" s="7" t="s">
        <v>86</v>
      </c>
      <c r="P46" s="7" t="s">
        <v>314</v>
      </c>
      <c r="Q46" s="7" t="s">
        <v>314</v>
      </c>
      <c r="R46" s="7" t="s">
        <v>314</v>
      </c>
      <c r="S46" s="7" t="s">
        <v>314</v>
      </c>
    </row>
    <row r="47" ht="72" customHeight="1" spans="1:19" x14ac:dyDescent="0.25">
      <c r="A47" s="5" t="s">
        <v>609</v>
      </c>
      <c r="B47" s="5" t="s">
        <v>610</v>
      </c>
      <c r="C47" s="5" t="s">
        <v>611</v>
      </c>
      <c r="D47" s="5" t="s">
        <v>612</v>
      </c>
      <c r="E47" s="5" t="s">
        <v>613</v>
      </c>
      <c r="F47" s="5" t="s">
        <v>614</v>
      </c>
      <c r="G47" s="5" t="s">
        <v>615</v>
      </c>
      <c r="H47" s="5" t="s">
        <v>314</v>
      </c>
      <c r="I47" s="5" t="s">
        <v>22</v>
      </c>
      <c r="J47" s="5" t="s">
        <v>268</v>
      </c>
      <c r="K47" s="5" t="s">
        <v>145</v>
      </c>
      <c r="L47" s="5" t="s">
        <v>277</v>
      </c>
      <c r="M47" s="5" t="s">
        <v>70</v>
      </c>
      <c r="N47" s="5" t="s">
        <v>105</v>
      </c>
      <c r="O47" s="5" t="s">
        <v>611</v>
      </c>
      <c r="P47" s="5" t="s">
        <v>314</v>
      </c>
      <c r="Q47" s="5" t="s">
        <v>314</v>
      </c>
      <c r="R47" s="5" t="s">
        <v>314</v>
      </c>
      <c r="S47" s="5" t="s">
        <v>314</v>
      </c>
    </row>
    <row r="48" ht="72" customHeight="1" spans="1:19" x14ac:dyDescent="0.25">
      <c r="A48" s="7" t="s">
        <v>616</v>
      </c>
      <c r="B48" s="7" t="s">
        <v>610</v>
      </c>
      <c r="C48" s="7" t="s">
        <v>617</v>
      </c>
      <c r="D48" s="7" t="s">
        <v>618</v>
      </c>
      <c r="E48" s="7" t="s">
        <v>619</v>
      </c>
      <c r="F48" s="7" t="s">
        <v>620</v>
      </c>
      <c r="G48" s="7" t="s">
        <v>621</v>
      </c>
      <c r="H48" s="7" t="s">
        <v>314</v>
      </c>
      <c r="I48" s="7" t="s">
        <v>22</v>
      </c>
      <c r="J48" s="7" t="s">
        <v>272</v>
      </c>
      <c r="K48" s="7" t="s">
        <v>253</v>
      </c>
      <c r="L48" s="7" t="s">
        <v>277</v>
      </c>
      <c r="M48" s="7" t="s">
        <v>70</v>
      </c>
      <c r="N48" s="7" t="s">
        <v>105</v>
      </c>
      <c r="O48" s="7" t="s">
        <v>622</v>
      </c>
      <c r="P48" s="7" t="s">
        <v>314</v>
      </c>
      <c r="Q48" s="7" t="s">
        <v>314</v>
      </c>
      <c r="R48" s="7" t="s">
        <v>314</v>
      </c>
      <c r="S48" s="7" t="s">
        <v>314</v>
      </c>
    </row>
    <row r="49" ht="72" customHeight="1" spans="1:19" x14ac:dyDescent="0.25">
      <c r="A49" s="5" t="s">
        <v>623</v>
      </c>
      <c r="B49" s="5" t="s">
        <v>610</v>
      </c>
      <c r="C49" s="5" t="s">
        <v>624</v>
      </c>
      <c r="D49" s="5" t="s">
        <v>625</v>
      </c>
      <c r="E49" s="5" t="s">
        <v>626</v>
      </c>
      <c r="F49" s="5" t="s">
        <v>627</v>
      </c>
      <c r="G49" s="5" t="s">
        <v>628</v>
      </c>
      <c r="H49" s="5" t="s">
        <v>314</v>
      </c>
      <c r="I49" s="5" t="s">
        <v>22</v>
      </c>
      <c r="J49" s="5" t="s">
        <v>272</v>
      </c>
      <c r="K49" s="5" t="s">
        <v>249</v>
      </c>
      <c r="L49" s="5" t="s">
        <v>277</v>
      </c>
      <c r="M49" s="5" t="s">
        <v>70</v>
      </c>
      <c r="N49" s="5" t="s">
        <v>105</v>
      </c>
      <c r="O49" s="5" t="s">
        <v>629</v>
      </c>
      <c r="P49" s="5" t="s">
        <v>314</v>
      </c>
      <c r="Q49" s="5" t="s">
        <v>314</v>
      </c>
      <c r="R49" s="5" t="s">
        <v>314</v>
      </c>
      <c r="S49" s="5" t="s">
        <v>314</v>
      </c>
    </row>
    <row r="50" ht="72" customHeight="1" spans="1:19" x14ac:dyDescent="0.25">
      <c r="A50" s="7" t="s">
        <v>630</v>
      </c>
      <c r="B50" s="7" t="s">
        <v>631</v>
      </c>
      <c r="C50" s="7" t="s">
        <v>632</v>
      </c>
      <c r="D50" s="7" t="s">
        <v>633</v>
      </c>
      <c r="E50" s="7" t="s">
        <v>634</v>
      </c>
      <c r="F50" s="7" t="s">
        <v>635</v>
      </c>
      <c r="G50" s="7" t="s">
        <v>636</v>
      </c>
      <c r="H50" s="7" t="s">
        <v>314</v>
      </c>
      <c r="I50" s="7" t="s">
        <v>22</v>
      </c>
      <c r="J50" s="7" t="s">
        <v>263</v>
      </c>
      <c r="K50" s="7" t="s">
        <v>249</v>
      </c>
      <c r="L50" s="7" t="s">
        <v>277</v>
      </c>
      <c r="M50" s="7" t="s">
        <v>70</v>
      </c>
      <c r="N50" s="7" t="s">
        <v>105</v>
      </c>
      <c r="O50" s="7" t="s">
        <v>637</v>
      </c>
      <c r="P50" s="7" t="s">
        <v>314</v>
      </c>
      <c r="Q50" s="7" t="s">
        <v>314</v>
      </c>
      <c r="R50" s="7" t="s">
        <v>314</v>
      </c>
      <c r="S50" s="7" t="s">
        <v>314</v>
      </c>
    </row>
    <row r="51" ht="72" customHeight="1" spans="1:19" x14ac:dyDescent="0.25">
      <c r="A51" s="5" t="s">
        <v>638</v>
      </c>
      <c r="B51" s="5" t="s">
        <v>631</v>
      </c>
      <c r="C51" s="5" t="s">
        <v>639</v>
      </c>
      <c r="D51" s="5" t="s">
        <v>640</v>
      </c>
      <c r="E51" s="5" t="s">
        <v>641</v>
      </c>
      <c r="F51" s="5" t="s">
        <v>642</v>
      </c>
      <c r="G51" s="5" t="s">
        <v>643</v>
      </c>
      <c r="H51" s="5" t="s">
        <v>314</v>
      </c>
      <c r="I51" s="5" t="s">
        <v>22</v>
      </c>
      <c r="J51" s="5" t="s">
        <v>268</v>
      </c>
      <c r="K51" s="5" t="s">
        <v>249</v>
      </c>
      <c r="L51" s="5" t="s">
        <v>277</v>
      </c>
      <c r="M51" s="5" t="s">
        <v>70</v>
      </c>
      <c r="N51" s="5" t="s">
        <v>105</v>
      </c>
      <c r="O51" s="5" t="s">
        <v>644</v>
      </c>
      <c r="P51" s="5" t="s">
        <v>314</v>
      </c>
      <c r="Q51" s="5" t="s">
        <v>314</v>
      </c>
      <c r="R51" s="5" t="s">
        <v>314</v>
      </c>
      <c r="S51" s="5" t="s">
        <v>314</v>
      </c>
    </row>
    <row r="52" ht="72" customHeight="1" spans="1:19" x14ac:dyDescent="0.25">
      <c r="A52" s="7" t="s">
        <v>645</v>
      </c>
      <c r="B52" s="7" t="s">
        <v>631</v>
      </c>
      <c r="C52" s="7" t="s">
        <v>646</v>
      </c>
      <c r="D52" s="7" t="s">
        <v>647</v>
      </c>
      <c r="E52" s="7" t="s">
        <v>648</v>
      </c>
      <c r="F52" s="7" t="s">
        <v>649</v>
      </c>
      <c r="G52" s="7" t="s">
        <v>650</v>
      </c>
      <c r="H52" s="7" t="s">
        <v>314</v>
      </c>
      <c r="I52" s="7" t="s">
        <v>22</v>
      </c>
      <c r="J52" s="7" t="s">
        <v>272</v>
      </c>
      <c r="K52" s="7" t="s">
        <v>251</v>
      </c>
      <c r="L52" s="7" t="s">
        <v>277</v>
      </c>
      <c r="M52" s="7" t="s">
        <v>70</v>
      </c>
      <c r="N52" s="7" t="s">
        <v>105</v>
      </c>
      <c r="O52" s="7" t="s">
        <v>651</v>
      </c>
      <c r="P52" s="7" t="s">
        <v>314</v>
      </c>
      <c r="Q52" s="7" t="s">
        <v>314</v>
      </c>
      <c r="R52" s="7" t="s">
        <v>314</v>
      </c>
      <c r="S52" s="7" t="s">
        <v>314</v>
      </c>
    </row>
    <row r="53" ht="72" customHeight="1" spans="1:19" x14ac:dyDescent="0.25">
      <c r="A53" s="5" t="s">
        <v>652</v>
      </c>
      <c r="B53" s="5" t="s">
        <v>610</v>
      </c>
      <c r="C53" s="5" t="s">
        <v>653</v>
      </c>
      <c r="D53" s="5" t="s">
        <v>654</v>
      </c>
      <c r="E53" s="5" t="s">
        <v>655</v>
      </c>
      <c r="F53" s="5" t="s">
        <v>656</v>
      </c>
      <c r="G53" s="5" t="s">
        <v>657</v>
      </c>
      <c r="H53" s="5" t="s">
        <v>314</v>
      </c>
      <c r="I53" s="5" t="s">
        <v>22</v>
      </c>
      <c r="J53" s="5" t="s">
        <v>268</v>
      </c>
      <c r="K53" s="5" t="s">
        <v>249</v>
      </c>
      <c r="L53" s="5" t="s">
        <v>277</v>
      </c>
      <c r="M53" s="5" t="s">
        <v>70</v>
      </c>
      <c r="N53" s="5" t="s">
        <v>105</v>
      </c>
      <c r="O53" s="5" t="s">
        <v>658</v>
      </c>
      <c r="P53" s="5" t="s">
        <v>314</v>
      </c>
      <c r="Q53" s="5" t="s">
        <v>314</v>
      </c>
      <c r="R53" s="5" t="s">
        <v>314</v>
      </c>
      <c r="S53" s="5" t="s">
        <v>314</v>
      </c>
    </row>
    <row r="54" ht="22" customHeight="1" spans="1:7" x14ac:dyDescent="0.25">
      <c r="A54" s="27" t="s">
        <v>659</v>
      </c>
      <c r="B54" s="27"/>
      <c r="C54" s="27"/>
      <c r="D54" s="27"/>
      <c r="E54" s="27"/>
      <c r="F54" s="27"/>
      <c r="G54" s="27"/>
    </row>
    <row r="55" ht="72" customHeight="1" spans="1:19" x14ac:dyDescent="0.25">
      <c r="A55" s="7" t="s">
        <v>660</v>
      </c>
      <c r="B55" s="7" t="s">
        <v>661</v>
      </c>
      <c r="C55" s="7" t="s">
        <v>662</v>
      </c>
      <c r="D55" s="7" t="s">
        <v>663</v>
      </c>
      <c r="E55" s="7" t="s">
        <v>664</v>
      </c>
      <c r="F55" s="7" t="s">
        <v>665</v>
      </c>
      <c r="G55" s="7" t="s">
        <v>666</v>
      </c>
      <c r="H55" s="7" t="s">
        <v>314</v>
      </c>
      <c r="I55" s="7" t="s">
        <v>22</v>
      </c>
      <c r="J55" s="7" t="s">
        <v>263</v>
      </c>
      <c r="K55" s="7" t="s">
        <v>249</v>
      </c>
      <c r="L55" s="7" t="s">
        <v>277</v>
      </c>
      <c r="M55" s="7" t="s">
        <v>70</v>
      </c>
      <c r="N55" s="7" t="s">
        <v>105</v>
      </c>
      <c r="O55" s="7" t="s">
        <v>667</v>
      </c>
      <c r="P55" s="7" t="s">
        <v>314</v>
      </c>
      <c r="Q55" s="7" t="s">
        <v>314</v>
      </c>
      <c r="R55" s="7" t="s">
        <v>314</v>
      </c>
      <c r="S55" s="7" t="s">
        <v>314</v>
      </c>
    </row>
    <row r="56" ht="72" customHeight="1" spans="1:19" x14ac:dyDescent="0.25">
      <c r="A56" s="5" t="s">
        <v>668</v>
      </c>
      <c r="B56" s="5" t="s">
        <v>661</v>
      </c>
      <c r="C56" s="5" t="s">
        <v>669</v>
      </c>
      <c r="D56" s="5" t="s">
        <v>670</v>
      </c>
      <c r="E56" s="5" t="s">
        <v>671</v>
      </c>
      <c r="F56" s="5" t="s">
        <v>672</v>
      </c>
      <c r="G56" s="5" t="s">
        <v>673</v>
      </c>
      <c r="H56" s="5" t="s">
        <v>314</v>
      </c>
      <c r="I56" s="5" t="s">
        <v>22</v>
      </c>
      <c r="J56" s="5" t="s">
        <v>263</v>
      </c>
      <c r="K56" s="5" t="s">
        <v>251</v>
      </c>
      <c r="L56" s="5" t="s">
        <v>277</v>
      </c>
      <c r="M56" s="5" t="s">
        <v>70</v>
      </c>
      <c r="N56" s="5" t="s">
        <v>105</v>
      </c>
      <c r="O56" s="5" t="s">
        <v>674</v>
      </c>
      <c r="P56" s="5" t="s">
        <v>314</v>
      </c>
      <c r="Q56" s="5" t="s">
        <v>314</v>
      </c>
      <c r="R56" s="5" t="s">
        <v>314</v>
      </c>
      <c r="S56" s="5" t="s">
        <v>314</v>
      </c>
    </row>
    <row r="57" ht="72" customHeight="1" spans="1:19" x14ac:dyDescent="0.25">
      <c r="A57" s="7" t="s">
        <v>675</v>
      </c>
      <c r="B57" s="7" t="s">
        <v>661</v>
      </c>
      <c r="C57" s="7" t="s">
        <v>676</v>
      </c>
      <c r="D57" s="7" t="s">
        <v>677</v>
      </c>
      <c r="E57" s="7" t="s">
        <v>678</v>
      </c>
      <c r="F57" s="7" t="s">
        <v>679</v>
      </c>
      <c r="G57" s="7" t="s">
        <v>680</v>
      </c>
      <c r="H57" s="7" t="s">
        <v>314</v>
      </c>
      <c r="I57" s="7" t="s">
        <v>22</v>
      </c>
      <c r="J57" s="7" t="s">
        <v>268</v>
      </c>
      <c r="K57" s="7" t="s">
        <v>249</v>
      </c>
      <c r="L57" s="7" t="s">
        <v>277</v>
      </c>
      <c r="M57" s="7" t="s">
        <v>70</v>
      </c>
      <c r="N57" s="7" t="s">
        <v>105</v>
      </c>
      <c r="O57" s="7" t="s">
        <v>681</v>
      </c>
      <c r="P57" s="7" t="s">
        <v>314</v>
      </c>
      <c r="Q57" s="7" t="s">
        <v>314</v>
      </c>
      <c r="R57" s="7" t="s">
        <v>314</v>
      </c>
      <c r="S57" s="7" t="s">
        <v>314</v>
      </c>
    </row>
    <row r="58" ht="72" customHeight="1" spans="1:19" x14ac:dyDescent="0.25">
      <c r="A58" s="5" t="s">
        <v>682</v>
      </c>
      <c r="B58" s="5" t="s">
        <v>661</v>
      </c>
      <c r="C58" s="5" t="s">
        <v>683</v>
      </c>
      <c r="D58" s="5" t="s">
        <v>684</v>
      </c>
      <c r="E58" s="5" t="s">
        <v>685</v>
      </c>
      <c r="F58" s="5" t="s">
        <v>686</v>
      </c>
      <c r="G58" s="5" t="s">
        <v>687</v>
      </c>
      <c r="H58" s="5" t="s">
        <v>314</v>
      </c>
      <c r="I58" s="5" t="s">
        <v>22</v>
      </c>
      <c r="J58" s="5" t="s">
        <v>268</v>
      </c>
      <c r="K58" s="5" t="s">
        <v>249</v>
      </c>
      <c r="L58" s="5" t="s">
        <v>277</v>
      </c>
      <c r="M58" s="5" t="s">
        <v>70</v>
      </c>
      <c r="N58" s="5" t="s">
        <v>105</v>
      </c>
      <c r="O58" s="5" t="s">
        <v>688</v>
      </c>
      <c r="P58" s="5" t="s">
        <v>314</v>
      </c>
      <c r="Q58" s="5" t="s">
        <v>314</v>
      </c>
      <c r="R58" s="5" t="s">
        <v>314</v>
      </c>
      <c r="S58" s="5" t="s">
        <v>314</v>
      </c>
    </row>
    <row r="59" ht="72" customHeight="1" spans="1:19" x14ac:dyDescent="0.25">
      <c r="A59" s="7" t="s">
        <v>689</v>
      </c>
      <c r="B59" s="7" t="s">
        <v>661</v>
      </c>
      <c r="C59" s="7" t="s">
        <v>690</v>
      </c>
      <c r="D59" s="7" t="s">
        <v>691</v>
      </c>
      <c r="E59" s="7" t="s">
        <v>692</v>
      </c>
      <c r="F59" s="7" t="s">
        <v>693</v>
      </c>
      <c r="G59" s="7" t="s">
        <v>694</v>
      </c>
      <c r="H59" s="7" t="s">
        <v>314</v>
      </c>
      <c r="I59" s="7" t="s">
        <v>22</v>
      </c>
      <c r="J59" s="7" t="s">
        <v>268</v>
      </c>
      <c r="K59" s="7" t="s">
        <v>249</v>
      </c>
      <c r="L59" s="7" t="s">
        <v>277</v>
      </c>
      <c r="M59" s="7" t="s">
        <v>70</v>
      </c>
      <c r="N59" s="7" t="s">
        <v>105</v>
      </c>
      <c r="O59" s="7" t="s">
        <v>695</v>
      </c>
      <c r="P59" s="7" t="s">
        <v>314</v>
      </c>
      <c r="Q59" s="7" t="s">
        <v>314</v>
      </c>
      <c r="R59" s="7" t="s">
        <v>314</v>
      </c>
      <c r="S59" s="7" t="s">
        <v>314</v>
      </c>
    </row>
    <row r="60" ht="72" customHeight="1" spans="1:19" x14ac:dyDescent="0.25">
      <c r="A60" s="5" t="s">
        <v>696</v>
      </c>
      <c r="B60" s="5" t="s">
        <v>661</v>
      </c>
      <c r="C60" s="5" t="s">
        <v>697</v>
      </c>
      <c r="D60" s="5" t="s">
        <v>698</v>
      </c>
      <c r="E60" s="5" t="s">
        <v>699</v>
      </c>
      <c r="F60" s="5" t="s">
        <v>700</v>
      </c>
      <c r="G60" s="5" t="s">
        <v>701</v>
      </c>
      <c r="H60" s="5" t="s">
        <v>314</v>
      </c>
      <c r="I60" s="5" t="s">
        <v>22</v>
      </c>
      <c r="J60" s="5" t="s">
        <v>268</v>
      </c>
      <c r="K60" s="5" t="s">
        <v>251</v>
      </c>
      <c r="L60" s="5" t="s">
        <v>277</v>
      </c>
      <c r="M60" s="5" t="s">
        <v>70</v>
      </c>
      <c r="N60" s="5" t="s">
        <v>105</v>
      </c>
      <c r="O60" s="5" t="s">
        <v>702</v>
      </c>
      <c r="P60" s="5" t="s">
        <v>314</v>
      </c>
      <c r="Q60" s="5" t="s">
        <v>314</v>
      </c>
      <c r="R60" s="5" t="s">
        <v>314</v>
      </c>
      <c r="S60" s="5" t="s">
        <v>314</v>
      </c>
    </row>
    <row r="61" ht="72" customHeight="1" spans="1:19" x14ac:dyDescent="0.25">
      <c r="A61" s="7" t="s">
        <v>703</v>
      </c>
      <c r="B61" s="7" t="s">
        <v>661</v>
      </c>
      <c r="C61" s="7" t="s">
        <v>704</v>
      </c>
      <c r="D61" s="7" t="s">
        <v>705</v>
      </c>
      <c r="E61" s="7" t="s">
        <v>706</v>
      </c>
      <c r="F61" s="7" t="s">
        <v>707</v>
      </c>
      <c r="G61" s="7" t="s">
        <v>708</v>
      </c>
      <c r="H61" s="7" t="s">
        <v>314</v>
      </c>
      <c r="I61" s="7" t="s">
        <v>22</v>
      </c>
      <c r="J61" s="7" t="s">
        <v>268</v>
      </c>
      <c r="K61" s="7" t="s">
        <v>253</v>
      </c>
      <c r="L61" s="7" t="s">
        <v>277</v>
      </c>
      <c r="M61" s="7" t="s">
        <v>70</v>
      </c>
      <c r="N61" s="7" t="s">
        <v>105</v>
      </c>
      <c r="O61" s="7" t="s">
        <v>709</v>
      </c>
      <c r="P61" s="7" t="s">
        <v>314</v>
      </c>
      <c r="Q61" s="7" t="s">
        <v>314</v>
      </c>
      <c r="R61" s="7" t="s">
        <v>314</v>
      </c>
      <c r="S61" s="7" t="s">
        <v>314</v>
      </c>
    </row>
    <row r="62" ht="72" customHeight="1" spans="1:19" x14ac:dyDescent="0.25">
      <c r="A62" s="5" t="s">
        <v>710</v>
      </c>
      <c r="B62" s="5" t="s">
        <v>661</v>
      </c>
      <c r="C62" s="5" t="s">
        <v>711</v>
      </c>
      <c r="D62" s="5" t="s">
        <v>712</v>
      </c>
      <c r="E62" s="5" t="s">
        <v>713</v>
      </c>
      <c r="F62" s="5" t="s">
        <v>714</v>
      </c>
      <c r="G62" s="5" t="s">
        <v>715</v>
      </c>
      <c r="H62" s="5" t="s">
        <v>314</v>
      </c>
      <c r="I62" s="5" t="s">
        <v>22</v>
      </c>
      <c r="J62" s="5" t="s">
        <v>268</v>
      </c>
      <c r="K62" s="5" t="s">
        <v>253</v>
      </c>
      <c r="L62" s="5" t="s">
        <v>277</v>
      </c>
      <c r="M62" s="5" t="s">
        <v>70</v>
      </c>
      <c r="N62" s="5" t="s">
        <v>105</v>
      </c>
      <c r="O62" s="5" t="s">
        <v>714</v>
      </c>
      <c r="P62" s="5" t="s">
        <v>314</v>
      </c>
      <c r="Q62" s="5" t="s">
        <v>314</v>
      </c>
      <c r="R62" s="5" t="s">
        <v>314</v>
      </c>
      <c r="S62" s="5" t="s">
        <v>314</v>
      </c>
    </row>
    <row r="63" ht="22" customHeight="1" spans="1:7" x14ac:dyDescent="0.25">
      <c r="A63" s="27" t="s">
        <v>716</v>
      </c>
      <c r="B63" s="27"/>
      <c r="C63" s="27"/>
      <c r="D63" s="27"/>
      <c r="E63" s="27"/>
      <c r="F63" s="27"/>
      <c r="G63" s="27"/>
    </row>
    <row r="64" ht="72" customHeight="1" spans="1:19" x14ac:dyDescent="0.25">
      <c r="A64" s="7" t="s">
        <v>717</v>
      </c>
      <c r="B64" s="7" t="s">
        <v>43</v>
      </c>
      <c r="C64" s="7" t="s">
        <v>718</v>
      </c>
      <c r="D64" s="7" t="s">
        <v>719</v>
      </c>
      <c r="E64" s="7" t="s">
        <v>720</v>
      </c>
      <c r="F64" s="7" t="s">
        <v>721</v>
      </c>
      <c r="G64" s="7" t="s">
        <v>722</v>
      </c>
      <c r="H64" s="7" t="s">
        <v>314</v>
      </c>
      <c r="I64" s="7" t="s">
        <v>22</v>
      </c>
      <c r="J64" s="7" t="s">
        <v>263</v>
      </c>
      <c r="K64" s="7" t="s">
        <v>249</v>
      </c>
      <c r="L64" s="7" t="s">
        <v>277</v>
      </c>
      <c r="M64" s="7" t="s">
        <v>70</v>
      </c>
      <c r="N64" s="7" t="s">
        <v>105</v>
      </c>
      <c r="O64" s="7" t="s">
        <v>723</v>
      </c>
      <c r="P64" s="7" t="s">
        <v>314</v>
      </c>
      <c r="Q64" s="7" t="s">
        <v>314</v>
      </c>
      <c r="R64" s="7" t="s">
        <v>314</v>
      </c>
      <c r="S64" s="7" t="s">
        <v>314</v>
      </c>
    </row>
    <row r="65" ht="72" customHeight="1" spans="1:19" x14ac:dyDescent="0.25">
      <c r="A65" s="5" t="s">
        <v>724</v>
      </c>
      <c r="B65" s="5" t="s">
        <v>43</v>
      </c>
      <c r="C65" s="5" t="s">
        <v>725</v>
      </c>
      <c r="D65" s="5" t="s">
        <v>726</v>
      </c>
      <c r="E65" s="5" t="s">
        <v>727</v>
      </c>
      <c r="F65" s="5" t="s">
        <v>728</v>
      </c>
      <c r="G65" s="5" t="s">
        <v>729</v>
      </c>
      <c r="H65" s="5" t="s">
        <v>314</v>
      </c>
      <c r="I65" s="5" t="s">
        <v>22</v>
      </c>
      <c r="J65" s="5" t="s">
        <v>263</v>
      </c>
      <c r="K65" s="5" t="s">
        <v>249</v>
      </c>
      <c r="L65" s="5" t="s">
        <v>277</v>
      </c>
      <c r="M65" s="5" t="s">
        <v>70</v>
      </c>
      <c r="N65" s="5" t="s">
        <v>105</v>
      </c>
      <c r="O65" s="5" t="s">
        <v>730</v>
      </c>
      <c r="P65" s="5" t="s">
        <v>314</v>
      </c>
      <c r="Q65" s="5" t="s">
        <v>314</v>
      </c>
      <c r="R65" s="5" t="s">
        <v>314</v>
      </c>
      <c r="S65" s="5" t="s">
        <v>314</v>
      </c>
    </row>
    <row r="66" ht="72" customHeight="1" spans="1:19" x14ac:dyDescent="0.25">
      <c r="A66" s="7" t="s">
        <v>731</v>
      </c>
      <c r="B66" s="7" t="s">
        <v>43</v>
      </c>
      <c r="C66" s="7" t="s">
        <v>732</v>
      </c>
      <c r="D66" s="7" t="s">
        <v>733</v>
      </c>
      <c r="E66" s="7" t="s">
        <v>734</v>
      </c>
      <c r="F66" s="7" t="s">
        <v>735</v>
      </c>
      <c r="G66" s="7" t="s">
        <v>736</v>
      </c>
      <c r="H66" s="7" t="s">
        <v>314</v>
      </c>
      <c r="I66" s="7" t="s">
        <v>22</v>
      </c>
      <c r="J66" s="7" t="s">
        <v>268</v>
      </c>
      <c r="K66" s="7" t="s">
        <v>145</v>
      </c>
      <c r="L66" s="7" t="s">
        <v>277</v>
      </c>
      <c r="M66" s="7" t="s">
        <v>70</v>
      </c>
      <c r="N66" s="7" t="s">
        <v>105</v>
      </c>
      <c r="O66" s="7" t="s">
        <v>737</v>
      </c>
      <c r="P66" s="7" t="s">
        <v>314</v>
      </c>
      <c r="Q66" s="7" t="s">
        <v>314</v>
      </c>
      <c r="R66" s="7" t="s">
        <v>314</v>
      </c>
      <c r="S66" s="7" t="s">
        <v>314</v>
      </c>
    </row>
    <row r="67" ht="72" customHeight="1" spans="1:19" x14ac:dyDescent="0.25">
      <c r="A67" s="5" t="s">
        <v>738</v>
      </c>
      <c r="B67" s="5" t="s">
        <v>43</v>
      </c>
      <c r="C67" s="5" t="s">
        <v>739</v>
      </c>
      <c r="D67" s="5" t="s">
        <v>740</v>
      </c>
      <c r="E67" s="5" t="s">
        <v>741</v>
      </c>
      <c r="F67" s="5" t="s">
        <v>742</v>
      </c>
      <c r="G67" s="5" t="s">
        <v>743</v>
      </c>
      <c r="H67" s="5" t="s">
        <v>314</v>
      </c>
      <c r="I67" s="5" t="s">
        <v>22</v>
      </c>
      <c r="J67" s="5" t="s">
        <v>268</v>
      </c>
      <c r="K67" s="5" t="s">
        <v>249</v>
      </c>
      <c r="L67" s="5" t="s">
        <v>277</v>
      </c>
      <c r="M67" s="5" t="s">
        <v>70</v>
      </c>
      <c r="N67" s="5" t="s">
        <v>105</v>
      </c>
      <c r="O67" s="5" t="s">
        <v>739</v>
      </c>
      <c r="P67" s="5" t="s">
        <v>314</v>
      </c>
      <c r="Q67" s="5" t="s">
        <v>314</v>
      </c>
      <c r="R67" s="5" t="s">
        <v>314</v>
      </c>
      <c r="S67" s="5" t="s">
        <v>314</v>
      </c>
    </row>
    <row r="68" ht="72" customHeight="1" spans="1:19" x14ac:dyDescent="0.25">
      <c r="A68" s="7" t="s">
        <v>744</v>
      </c>
      <c r="B68" s="7" t="s">
        <v>43</v>
      </c>
      <c r="C68" s="7" t="s">
        <v>745</v>
      </c>
      <c r="D68" s="7" t="s">
        <v>746</v>
      </c>
      <c r="E68" s="7" t="s">
        <v>747</v>
      </c>
      <c r="F68" s="7" t="s">
        <v>748</v>
      </c>
      <c r="G68" s="7" t="s">
        <v>749</v>
      </c>
      <c r="H68" s="7" t="s">
        <v>314</v>
      </c>
      <c r="I68" s="7" t="s">
        <v>22</v>
      </c>
      <c r="J68" s="7" t="s">
        <v>263</v>
      </c>
      <c r="K68" s="7" t="s">
        <v>249</v>
      </c>
      <c r="L68" s="7" t="s">
        <v>269</v>
      </c>
      <c r="M68" s="7" t="s">
        <v>66</v>
      </c>
      <c r="N68" s="7" t="s">
        <v>750</v>
      </c>
      <c r="O68" s="7" t="s">
        <v>96</v>
      </c>
      <c r="P68" s="7" t="s">
        <v>314</v>
      </c>
      <c r="Q68" s="7" t="s">
        <v>314</v>
      </c>
      <c r="R68" s="7" t="s">
        <v>314</v>
      </c>
      <c r="S68" s="7" t="s">
        <v>314</v>
      </c>
    </row>
    <row r="69" ht="72" customHeight="1" spans="1:19" x14ac:dyDescent="0.25">
      <c r="A69" s="5" t="s">
        <v>751</v>
      </c>
      <c r="B69" s="5" t="s">
        <v>43</v>
      </c>
      <c r="C69" s="5" t="s">
        <v>93</v>
      </c>
      <c r="D69" s="5" t="s">
        <v>752</v>
      </c>
      <c r="E69" s="5" t="s">
        <v>753</v>
      </c>
      <c r="F69" s="5" t="s">
        <v>754</v>
      </c>
      <c r="G69" s="5" t="s">
        <v>755</v>
      </c>
      <c r="H69" s="5" t="s">
        <v>314</v>
      </c>
      <c r="I69" s="5" t="s">
        <v>22</v>
      </c>
      <c r="J69" s="5" t="s">
        <v>263</v>
      </c>
      <c r="K69" s="5" t="s">
        <v>249</v>
      </c>
      <c r="L69" s="5" t="s">
        <v>269</v>
      </c>
      <c r="M69" s="5" t="s">
        <v>66</v>
      </c>
      <c r="N69" s="5" t="s">
        <v>756</v>
      </c>
      <c r="O69" s="5" t="s">
        <v>96</v>
      </c>
      <c r="P69" s="5" t="s">
        <v>314</v>
      </c>
      <c r="Q69" s="5" t="s">
        <v>314</v>
      </c>
      <c r="R69" s="5" t="s">
        <v>314</v>
      </c>
      <c r="S69" s="5" t="s">
        <v>314</v>
      </c>
    </row>
    <row r="70" ht="72" customHeight="1" spans="1:19" x14ac:dyDescent="0.25">
      <c r="A70" s="7" t="s">
        <v>757</v>
      </c>
      <c r="B70" s="7" t="s">
        <v>43</v>
      </c>
      <c r="C70" s="7" t="s">
        <v>93</v>
      </c>
      <c r="D70" s="7" t="s">
        <v>758</v>
      </c>
      <c r="E70" s="7" t="s">
        <v>759</v>
      </c>
      <c r="F70" s="7" t="s">
        <v>760</v>
      </c>
      <c r="G70" s="7" t="s">
        <v>761</v>
      </c>
      <c r="H70" s="7" t="s">
        <v>314</v>
      </c>
      <c r="I70" s="7" t="s">
        <v>22</v>
      </c>
      <c r="J70" s="7" t="s">
        <v>268</v>
      </c>
      <c r="K70" s="7" t="s">
        <v>251</v>
      </c>
      <c r="L70" s="7" t="s">
        <v>277</v>
      </c>
      <c r="M70" s="7" t="s">
        <v>70</v>
      </c>
      <c r="N70" s="7" t="s">
        <v>105</v>
      </c>
      <c r="O70" s="7" t="s">
        <v>762</v>
      </c>
      <c r="P70" s="7" t="s">
        <v>314</v>
      </c>
      <c r="Q70" s="7" t="s">
        <v>314</v>
      </c>
      <c r="R70" s="7" t="s">
        <v>314</v>
      </c>
      <c r="S70" s="7" t="s">
        <v>314</v>
      </c>
    </row>
    <row r="71" ht="72" customHeight="1" spans="1:19" x14ac:dyDescent="0.25">
      <c r="A71" s="5" t="s">
        <v>763</v>
      </c>
      <c r="B71" s="5" t="s">
        <v>43</v>
      </c>
      <c r="C71" s="5" t="s">
        <v>745</v>
      </c>
      <c r="D71" s="5" t="s">
        <v>764</v>
      </c>
      <c r="E71" s="5" t="s">
        <v>765</v>
      </c>
      <c r="F71" s="5" t="s">
        <v>766</v>
      </c>
      <c r="G71" s="5" t="s">
        <v>767</v>
      </c>
      <c r="H71" s="5" t="s">
        <v>314</v>
      </c>
      <c r="I71" s="5" t="s">
        <v>22</v>
      </c>
      <c r="J71" s="5" t="s">
        <v>268</v>
      </c>
      <c r="K71" s="5" t="s">
        <v>251</v>
      </c>
      <c r="L71" s="5" t="s">
        <v>277</v>
      </c>
      <c r="M71" s="5" t="s">
        <v>70</v>
      </c>
      <c r="N71" s="5" t="s">
        <v>105</v>
      </c>
      <c r="O71" s="5" t="s">
        <v>768</v>
      </c>
      <c r="P71" s="5" t="s">
        <v>314</v>
      </c>
      <c r="Q71" s="5" t="s">
        <v>314</v>
      </c>
      <c r="R71" s="5" t="s">
        <v>314</v>
      </c>
      <c r="S71" s="5" t="s">
        <v>314</v>
      </c>
    </row>
    <row r="72" ht="72" customHeight="1" spans="1:19" x14ac:dyDescent="0.25">
      <c r="A72" s="7" t="s">
        <v>769</v>
      </c>
      <c r="B72" s="7" t="s">
        <v>43</v>
      </c>
      <c r="C72" s="7" t="s">
        <v>745</v>
      </c>
      <c r="D72" s="7" t="s">
        <v>770</v>
      </c>
      <c r="E72" s="7" t="s">
        <v>771</v>
      </c>
      <c r="F72" s="7" t="s">
        <v>772</v>
      </c>
      <c r="G72" s="7" t="s">
        <v>773</v>
      </c>
      <c r="H72" s="7" t="s">
        <v>314</v>
      </c>
      <c r="I72" s="7" t="s">
        <v>22</v>
      </c>
      <c r="J72" s="7" t="s">
        <v>268</v>
      </c>
      <c r="K72" s="7" t="s">
        <v>251</v>
      </c>
      <c r="L72" s="7" t="s">
        <v>277</v>
      </c>
      <c r="M72" s="7" t="s">
        <v>70</v>
      </c>
      <c r="N72" s="7" t="s">
        <v>105</v>
      </c>
      <c r="O72" s="7" t="s">
        <v>774</v>
      </c>
      <c r="P72" s="7" t="s">
        <v>314</v>
      </c>
      <c r="Q72" s="7" t="s">
        <v>314</v>
      </c>
      <c r="R72" s="7" t="s">
        <v>314</v>
      </c>
      <c r="S72" s="7" t="s">
        <v>314</v>
      </c>
    </row>
    <row r="73" ht="72" customHeight="1" spans="1:19" x14ac:dyDescent="0.25">
      <c r="A73" s="5" t="s">
        <v>775</v>
      </c>
      <c r="B73" s="5" t="s">
        <v>43</v>
      </c>
      <c r="C73" s="5" t="s">
        <v>745</v>
      </c>
      <c r="D73" s="5" t="s">
        <v>776</v>
      </c>
      <c r="E73" s="5" t="s">
        <v>777</v>
      </c>
      <c r="F73" s="5" t="s">
        <v>778</v>
      </c>
      <c r="G73" s="5" t="s">
        <v>779</v>
      </c>
      <c r="H73" s="5" t="s">
        <v>314</v>
      </c>
      <c r="I73" s="5" t="s">
        <v>22</v>
      </c>
      <c r="J73" s="5" t="s">
        <v>268</v>
      </c>
      <c r="K73" s="5" t="s">
        <v>251</v>
      </c>
      <c r="L73" s="5" t="s">
        <v>269</v>
      </c>
      <c r="M73" s="5" t="s">
        <v>66</v>
      </c>
      <c r="N73" s="5" t="s">
        <v>780</v>
      </c>
      <c r="O73" s="5" t="s">
        <v>96</v>
      </c>
      <c r="P73" s="5" t="s">
        <v>314</v>
      </c>
      <c r="Q73" s="5" t="s">
        <v>314</v>
      </c>
      <c r="R73" s="5" t="s">
        <v>314</v>
      </c>
      <c r="S73" s="5" t="s">
        <v>314</v>
      </c>
    </row>
    <row r="74" ht="72" customHeight="1" spans="1:19" x14ac:dyDescent="0.25">
      <c r="A74" s="7" t="s">
        <v>781</v>
      </c>
      <c r="B74" s="7" t="s">
        <v>43</v>
      </c>
      <c r="C74" s="7" t="s">
        <v>782</v>
      </c>
      <c r="D74" s="7" t="s">
        <v>783</v>
      </c>
      <c r="E74" s="7" t="s">
        <v>784</v>
      </c>
      <c r="F74" s="7" t="s">
        <v>785</v>
      </c>
      <c r="G74" s="7" t="s">
        <v>786</v>
      </c>
      <c r="H74" s="7" t="s">
        <v>314</v>
      </c>
      <c r="I74" s="7" t="s">
        <v>22</v>
      </c>
      <c r="J74" s="7" t="s">
        <v>268</v>
      </c>
      <c r="K74" s="7" t="s">
        <v>253</v>
      </c>
      <c r="L74" s="7" t="s">
        <v>269</v>
      </c>
      <c r="M74" s="7" t="s">
        <v>66</v>
      </c>
      <c r="N74" s="7" t="s">
        <v>787</v>
      </c>
      <c r="O74" s="7" t="s">
        <v>96</v>
      </c>
      <c r="P74" s="7" t="s">
        <v>314</v>
      </c>
      <c r="Q74" s="7" t="s">
        <v>314</v>
      </c>
      <c r="R74" s="7" t="s">
        <v>314</v>
      </c>
      <c r="S74" s="7" t="s">
        <v>314</v>
      </c>
    </row>
    <row r="75" ht="72" customHeight="1" spans="1:19" x14ac:dyDescent="0.25">
      <c r="A75" s="5" t="s">
        <v>788</v>
      </c>
      <c r="B75" s="5" t="s">
        <v>43</v>
      </c>
      <c r="C75" s="5" t="s">
        <v>789</v>
      </c>
      <c r="D75" s="5" t="s">
        <v>790</v>
      </c>
      <c r="E75" s="5" t="s">
        <v>791</v>
      </c>
      <c r="F75" s="5" t="s">
        <v>792</v>
      </c>
      <c r="G75" s="5" t="s">
        <v>793</v>
      </c>
      <c r="H75" s="5" t="s">
        <v>314</v>
      </c>
      <c r="I75" s="5" t="s">
        <v>22</v>
      </c>
      <c r="J75" s="5" t="s">
        <v>272</v>
      </c>
      <c r="K75" s="5" t="s">
        <v>253</v>
      </c>
      <c r="L75" s="5" t="s">
        <v>277</v>
      </c>
      <c r="M75" s="5" t="s">
        <v>70</v>
      </c>
      <c r="N75" s="5" t="s">
        <v>105</v>
      </c>
      <c r="O75" s="5" t="s">
        <v>794</v>
      </c>
      <c r="P75" s="5" t="s">
        <v>314</v>
      </c>
      <c r="Q75" s="5" t="s">
        <v>314</v>
      </c>
      <c r="R75" s="5" t="s">
        <v>314</v>
      </c>
      <c r="S75" s="5" t="s">
        <v>314</v>
      </c>
    </row>
    <row r="76" ht="72" customHeight="1" spans="1:19" x14ac:dyDescent="0.25">
      <c r="A76" s="7" t="s">
        <v>795</v>
      </c>
      <c r="B76" s="7" t="s">
        <v>43</v>
      </c>
      <c r="C76" s="7" t="s">
        <v>796</v>
      </c>
      <c r="D76" s="7" t="s">
        <v>797</v>
      </c>
      <c r="E76" s="7" t="s">
        <v>798</v>
      </c>
      <c r="F76" s="7" t="s">
        <v>799</v>
      </c>
      <c r="G76" s="7" t="s">
        <v>800</v>
      </c>
      <c r="H76" s="7" t="s">
        <v>314</v>
      </c>
      <c r="I76" s="7" t="s">
        <v>22</v>
      </c>
      <c r="J76" s="7" t="s">
        <v>272</v>
      </c>
      <c r="K76" s="7" t="s">
        <v>251</v>
      </c>
      <c r="L76" s="7" t="s">
        <v>277</v>
      </c>
      <c r="M76" s="7" t="s">
        <v>70</v>
      </c>
      <c r="N76" s="7" t="s">
        <v>105</v>
      </c>
      <c r="O76" s="7" t="s">
        <v>801</v>
      </c>
      <c r="P76" s="7" t="s">
        <v>314</v>
      </c>
      <c r="Q76" s="7" t="s">
        <v>314</v>
      </c>
      <c r="R76" s="7" t="s">
        <v>314</v>
      </c>
      <c r="S76" s="7" t="s">
        <v>314</v>
      </c>
    </row>
    <row r="77" ht="22" customHeight="1" spans="1:7" x14ac:dyDescent="0.25">
      <c r="A77" s="27" t="s">
        <v>802</v>
      </c>
      <c r="B77" s="27"/>
      <c r="C77" s="27"/>
      <c r="D77" s="27"/>
      <c r="E77" s="27"/>
      <c r="F77" s="27"/>
      <c r="G77" s="27"/>
    </row>
    <row r="78" ht="72" customHeight="1" spans="1:19" x14ac:dyDescent="0.25">
      <c r="A78" s="7" t="s">
        <v>803</v>
      </c>
      <c r="B78" s="7" t="s">
        <v>804</v>
      </c>
      <c r="C78" s="7" t="s">
        <v>98</v>
      </c>
      <c r="D78" s="7" t="s">
        <v>805</v>
      </c>
      <c r="E78" s="7" t="s">
        <v>806</v>
      </c>
      <c r="F78" s="7" t="s">
        <v>807</v>
      </c>
      <c r="G78" s="7" t="s">
        <v>808</v>
      </c>
      <c r="H78" s="7" t="s">
        <v>314</v>
      </c>
      <c r="I78" s="7" t="s">
        <v>22</v>
      </c>
      <c r="J78" s="7" t="s">
        <v>263</v>
      </c>
      <c r="K78" s="7" t="s">
        <v>249</v>
      </c>
      <c r="L78" s="7" t="s">
        <v>273</v>
      </c>
      <c r="M78" s="7" t="s">
        <v>68</v>
      </c>
      <c r="N78" s="7" t="s">
        <v>809</v>
      </c>
      <c r="O78" s="7" t="s">
        <v>810</v>
      </c>
      <c r="P78" s="7" t="s">
        <v>314</v>
      </c>
      <c r="Q78" s="7" t="s">
        <v>314</v>
      </c>
      <c r="R78" s="7" t="s">
        <v>314</v>
      </c>
      <c r="S78" s="7" t="s">
        <v>314</v>
      </c>
    </row>
    <row r="79" ht="72" customHeight="1" spans="1:19" x14ac:dyDescent="0.25">
      <c r="A79" s="5" t="s">
        <v>811</v>
      </c>
      <c r="B79" s="5" t="s">
        <v>804</v>
      </c>
      <c r="C79" s="5" t="s">
        <v>98</v>
      </c>
      <c r="D79" s="5" t="s">
        <v>812</v>
      </c>
      <c r="E79" s="5" t="s">
        <v>813</v>
      </c>
      <c r="F79" s="5" t="s">
        <v>814</v>
      </c>
      <c r="G79" s="5" t="s">
        <v>815</v>
      </c>
      <c r="H79" s="5" t="s">
        <v>314</v>
      </c>
      <c r="I79" s="5" t="s">
        <v>22</v>
      </c>
      <c r="J79" s="5" t="s">
        <v>272</v>
      </c>
      <c r="K79" s="5" t="s">
        <v>251</v>
      </c>
      <c r="L79" s="5" t="s">
        <v>277</v>
      </c>
      <c r="M79" s="5" t="s">
        <v>70</v>
      </c>
      <c r="N79" s="5" t="s">
        <v>105</v>
      </c>
      <c r="O79" s="5" t="s">
        <v>816</v>
      </c>
      <c r="P79" s="5" t="s">
        <v>314</v>
      </c>
      <c r="Q79" s="5" t="s">
        <v>314</v>
      </c>
      <c r="R79" s="5" t="s">
        <v>314</v>
      </c>
      <c r="S79" s="5" t="s">
        <v>314</v>
      </c>
    </row>
    <row r="80" ht="72" customHeight="1" spans="1:19" x14ac:dyDescent="0.25">
      <c r="A80" s="7" t="s">
        <v>817</v>
      </c>
      <c r="B80" s="7" t="s">
        <v>804</v>
      </c>
      <c r="C80" s="7" t="s">
        <v>98</v>
      </c>
      <c r="D80" s="7" t="s">
        <v>818</v>
      </c>
      <c r="E80" s="7" t="s">
        <v>819</v>
      </c>
      <c r="F80" s="7" t="s">
        <v>820</v>
      </c>
      <c r="G80" s="7" t="s">
        <v>821</v>
      </c>
      <c r="H80" s="7" t="s">
        <v>314</v>
      </c>
      <c r="I80" s="7" t="s">
        <v>22</v>
      </c>
      <c r="J80" s="7" t="s">
        <v>268</v>
      </c>
      <c r="K80" s="7" t="s">
        <v>253</v>
      </c>
      <c r="L80" s="7" t="s">
        <v>273</v>
      </c>
      <c r="M80" s="7" t="s">
        <v>68</v>
      </c>
      <c r="N80" s="7" t="s">
        <v>822</v>
      </c>
      <c r="O80" s="7" t="s">
        <v>823</v>
      </c>
      <c r="P80" s="7" t="s">
        <v>314</v>
      </c>
      <c r="Q80" s="7" t="s">
        <v>314</v>
      </c>
      <c r="R80" s="7" t="s">
        <v>314</v>
      </c>
      <c r="S80" s="7" t="s">
        <v>314</v>
      </c>
    </row>
    <row r="81" ht="22" customHeight="1" spans="1:7" x14ac:dyDescent="0.25">
      <c r="A81" s="27" t="s">
        <v>824</v>
      </c>
      <c r="B81" s="27"/>
      <c r="C81" s="27"/>
      <c r="D81" s="27"/>
      <c r="E81" s="27"/>
      <c r="F81" s="27"/>
      <c r="G81" s="27"/>
    </row>
    <row r="82" ht="72" customHeight="1" spans="1:19" x14ac:dyDescent="0.25">
      <c r="A82" s="7" t="s">
        <v>825</v>
      </c>
      <c r="B82" s="7" t="s">
        <v>49</v>
      </c>
      <c r="C82" s="7" t="s">
        <v>826</v>
      </c>
      <c r="D82" s="7" t="s">
        <v>827</v>
      </c>
      <c r="E82" s="7" t="s">
        <v>828</v>
      </c>
      <c r="F82" s="7" t="s">
        <v>829</v>
      </c>
      <c r="G82" s="7" t="s">
        <v>830</v>
      </c>
      <c r="H82" s="7" t="s">
        <v>314</v>
      </c>
      <c r="I82" s="7" t="s">
        <v>22</v>
      </c>
      <c r="J82" s="7" t="s">
        <v>263</v>
      </c>
      <c r="K82" s="7" t="s">
        <v>249</v>
      </c>
      <c r="L82" s="7" t="s">
        <v>277</v>
      </c>
      <c r="M82" s="7" t="s">
        <v>70</v>
      </c>
      <c r="N82" s="7" t="s">
        <v>105</v>
      </c>
      <c r="O82" s="7" t="s">
        <v>831</v>
      </c>
      <c r="P82" s="7" t="s">
        <v>314</v>
      </c>
      <c r="Q82" s="7" t="s">
        <v>314</v>
      </c>
      <c r="R82" s="7" t="s">
        <v>314</v>
      </c>
      <c r="S82" s="7" t="s">
        <v>314</v>
      </c>
    </row>
    <row r="83" ht="72" customHeight="1" spans="1:19" x14ac:dyDescent="0.25">
      <c r="A83" s="5" t="s">
        <v>832</v>
      </c>
      <c r="B83" s="5" t="s">
        <v>49</v>
      </c>
      <c r="C83" s="5" t="s">
        <v>833</v>
      </c>
      <c r="D83" s="5" t="s">
        <v>834</v>
      </c>
      <c r="E83" s="5" t="s">
        <v>835</v>
      </c>
      <c r="F83" s="5" t="s">
        <v>836</v>
      </c>
      <c r="G83" s="5" t="s">
        <v>837</v>
      </c>
      <c r="H83" s="5" t="s">
        <v>314</v>
      </c>
      <c r="I83" s="5" t="s">
        <v>22</v>
      </c>
      <c r="J83" s="5" t="s">
        <v>268</v>
      </c>
      <c r="K83" s="5" t="s">
        <v>249</v>
      </c>
      <c r="L83" s="5" t="s">
        <v>277</v>
      </c>
      <c r="M83" s="5" t="s">
        <v>70</v>
      </c>
      <c r="N83" s="5" t="s">
        <v>105</v>
      </c>
      <c r="O83" s="5" t="s">
        <v>833</v>
      </c>
      <c r="P83" s="5" t="s">
        <v>314</v>
      </c>
      <c r="Q83" s="5" t="s">
        <v>314</v>
      </c>
      <c r="R83" s="5" t="s">
        <v>314</v>
      </c>
      <c r="S83" s="5" t="s">
        <v>314</v>
      </c>
    </row>
    <row r="84" ht="72" customHeight="1" spans="1:19" x14ac:dyDescent="0.25">
      <c r="A84" s="7" t="s">
        <v>838</v>
      </c>
      <c r="B84" s="7" t="s">
        <v>49</v>
      </c>
      <c r="C84" s="7" t="s">
        <v>98</v>
      </c>
      <c r="D84" s="7" t="s">
        <v>839</v>
      </c>
      <c r="E84" s="7" t="s">
        <v>840</v>
      </c>
      <c r="F84" s="7" t="s">
        <v>841</v>
      </c>
      <c r="G84" s="7" t="s">
        <v>842</v>
      </c>
      <c r="H84" s="7" t="s">
        <v>314</v>
      </c>
      <c r="I84" s="7" t="s">
        <v>22</v>
      </c>
      <c r="J84" s="7" t="s">
        <v>268</v>
      </c>
      <c r="K84" s="7" t="s">
        <v>249</v>
      </c>
      <c r="L84" s="7" t="s">
        <v>277</v>
      </c>
      <c r="M84" s="7" t="s">
        <v>70</v>
      </c>
      <c r="N84" s="7" t="s">
        <v>105</v>
      </c>
      <c r="O84" s="7" t="s">
        <v>843</v>
      </c>
      <c r="P84" s="7" t="s">
        <v>314</v>
      </c>
      <c r="Q84" s="7" t="s">
        <v>314</v>
      </c>
      <c r="R84" s="7" t="s">
        <v>314</v>
      </c>
      <c r="S84" s="7" t="s">
        <v>314</v>
      </c>
    </row>
    <row r="85" ht="72" customHeight="1" spans="1:19" x14ac:dyDescent="0.25">
      <c r="A85" s="5" t="s">
        <v>844</v>
      </c>
      <c r="B85" s="5" t="s">
        <v>49</v>
      </c>
      <c r="C85" s="5" t="s">
        <v>845</v>
      </c>
      <c r="D85" s="5" t="s">
        <v>846</v>
      </c>
      <c r="E85" s="5" t="s">
        <v>847</v>
      </c>
      <c r="F85" s="5" t="s">
        <v>848</v>
      </c>
      <c r="G85" s="5" t="s">
        <v>849</v>
      </c>
      <c r="H85" s="5" t="s">
        <v>314</v>
      </c>
      <c r="I85" s="5" t="s">
        <v>22</v>
      </c>
      <c r="J85" s="5" t="s">
        <v>272</v>
      </c>
      <c r="K85" s="5" t="s">
        <v>249</v>
      </c>
      <c r="L85" s="5" t="s">
        <v>277</v>
      </c>
      <c r="M85" s="5" t="s">
        <v>70</v>
      </c>
      <c r="N85" s="5" t="s">
        <v>105</v>
      </c>
      <c r="O85" s="5" t="s">
        <v>845</v>
      </c>
      <c r="P85" s="5" t="s">
        <v>314</v>
      </c>
      <c r="Q85" s="5" t="s">
        <v>314</v>
      </c>
      <c r="R85" s="5" t="s">
        <v>314</v>
      </c>
      <c r="S85" s="5" t="s">
        <v>314</v>
      </c>
    </row>
    <row r="86" ht="72" customHeight="1" spans="1:19" x14ac:dyDescent="0.25">
      <c r="A86" s="7" t="s">
        <v>850</v>
      </c>
      <c r="B86" s="7" t="s">
        <v>49</v>
      </c>
      <c r="C86" s="7" t="s">
        <v>851</v>
      </c>
      <c r="D86" s="7" t="s">
        <v>852</v>
      </c>
      <c r="E86" s="7" t="s">
        <v>853</v>
      </c>
      <c r="F86" s="7" t="s">
        <v>854</v>
      </c>
      <c r="G86" s="7" t="s">
        <v>855</v>
      </c>
      <c r="H86" s="7" t="s">
        <v>314</v>
      </c>
      <c r="I86" s="7" t="s">
        <v>22</v>
      </c>
      <c r="J86" s="7" t="s">
        <v>268</v>
      </c>
      <c r="K86" s="7" t="s">
        <v>251</v>
      </c>
      <c r="L86" s="7" t="s">
        <v>277</v>
      </c>
      <c r="M86" s="7" t="s">
        <v>70</v>
      </c>
      <c r="N86" s="7" t="s">
        <v>105</v>
      </c>
      <c r="O86" s="7" t="s">
        <v>856</v>
      </c>
      <c r="P86" s="7" t="s">
        <v>314</v>
      </c>
      <c r="Q86" s="7" t="s">
        <v>314</v>
      </c>
      <c r="R86" s="7" t="s">
        <v>314</v>
      </c>
      <c r="S86" s="7" t="s">
        <v>314</v>
      </c>
    </row>
    <row r="87" ht="72" customHeight="1" spans="1:19" x14ac:dyDescent="0.25">
      <c r="A87" s="5" t="s">
        <v>857</v>
      </c>
      <c r="B87" s="5" t="s">
        <v>49</v>
      </c>
      <c r="C87" s="5" t="s">
        <v>858</v>
      </c>
      <c r="D87" s="5" t="s">
        <v>859</v>
      </c>
      <c r="E87" s="5" t="s">
        <v>860</v>
      </c>
      <c r="F87" s="5" t="s">
        <v>861</v>
      </c>
      <c r="G87" s="5" t="s">
        <v>862</v>
      </c>
      <c r="H87" s="5" t="s">
        <v>314</v>
      </c>
      <c r="I87" s="5" t="s">
        <v>22</v>
      </c>
      <c r="J87" s="5" t="s">
        <v>272</v>
      </c>
      <c r="K87" s="5" t="s">
        <v>253</v>
      </c>
      <c r="L87" s="5" t="s">
        <v>277</v>
      </c>
      <c r="M87" s="5" t="s">
        <v>70</v>
      </c>
      <c r="N87" s="5" t="s">
        <v>105</v>
      </c>
      <c r="O87" s="5" t="s">
        <v>863</v>
      </c>
      <c r="P87" s="5" t="s">
        <v>314</v>
      </c>
      <c r="Q87" s="5" t="s">
        <v>314</v>
      </c>
      <c r="R87" s="5" t="s">
        <v>314</v>
      </c>
      <c r="S87" s="5" t="s">
        <v>314</v>
      </c>
    </row>
    <row r="88" ht="22" customHeight="1" spans="1:7" x14ac:dyDescent="0.25">
      <c r="A88" s="27" t="s">
        <v>864</v>
      </c>
      <c r="B88" s="27"/>
      <c r="C88" s="27"/>
      <c r="D88" s="27"/>
      <c r="E88" s="27"/>
      <c r="F88" s="27"/>
      <c r="G88" s="27"/>
    </row>
    <row r="89" ht="72" customHeight="1" spans="1:19" x14ac:dyDescent="0.25">
      <c r="A89" s="7" t="s">
        <v>865</v>
      </c>
      <c r="B89" s="7" t="s">
        <v>866</v>
      </c>
      <c r="C89" s="7" t="s">
        <v>867</v>
      </c>
      <c r="D89" s="7" t="s">
        <v>868</v>
      </c>
      <c r="E89" s="7" t="s">
        <v>869</v>
      </c>
      <c r="F89" s="7" t="s">
        <v>870</v>
      </c>
      <c r="G89" s="7" t="s">
        <v>871</v>
      </c>
      <c r="H89" s="7" t="s">
        <v>314</v>
      </c>
      <c r="I89" s="7" t="s">
        <v>22</v>
      </c>
      <c r="J89" s="7" t="s">
        <v>263</v>
      </c>
      <c r="K89" s="7" t="s">
        <v>249</v>
      </c>
      <c r="L89" s="7" t="s">
        <v>277</v>
      </c>
      <c r="M89" s="7" t="s">
        <v>70</v>
      </c>
      <c r="N89" s="7" t="s">
        <v>105</v>
      </c>
      <c r="O89" s="7" t="s">
        <v>872</v>
      </c>
      <c r="P89" s="7" t="s">
        <v>314</v>
      </c>
      <c r="Q89" s="7" t="s">
        <v>314</v>
      </c>
      <c r="R89" s="7" t="s">
        <v>314</v>
      </c>
      <c r="S89" s="7" t="s">
        <v>314</v>
      </c>
    </row>
    <row r="90" ht="72" customHeight="1" spans="1:19" x14ac:dyDescent="0.25">
      <c r="A90" s="5" t="s">
        <v>873</v>
      </c>
      <c r="B90" s="5" t="s">
        <v>866</v>
      </c>
      <c r="C90" s="5" t="s">
        <v>874</v>
      </c>
      <c r="D90" s="5" t="s">
        <v>875</v>
      </c>
      <c r="E90" s="5" t="s">
        <v>876</v>
      </c>
      <c r="F90" s="5" t="s">
        <v>877</v>
      </c>
      <c r="G90" s="5" t="s">
        <v>878</v>
      </c>
      <c r="H90" s="5" t="s">
        <v>314</v>
      </c>
      <c r="I90" s="5" t="s">
        <v>22</v>
      </c>
      <c r="J90" s="5" t="s">
        <v>268</v>
      </c>
      <c r="K90" s="5" t="s">
        <v>253</v>
      </c>
      <c r="L90" s="5" t="s">
        <v>277</v>
      </c>
      <c r="M90" s="5" t="s">
        <v>70</v>
      </c>
      <c r="N90" s="5" t="s">
        <v>105</v>
      </c>
      <c r="O90" s="5" t="s">
        <v>879</v>
      </c>
      <c r="P90" s="5" t="s">
        <v>314</v>
      </c>
      <c r="Q90" s="5" t="s">
        <v>314</v>
      </c>
      <c r="R90" s="5" t="s">
        <v>314</v>
      </c>
      <c r="S90" s="5" t="s">
        <v>314</v>
      </c>
    </row>
    <row r="91" ht="72" customHeight="1" spans="1:19" x14ac:dyDescent="0.25">
      <c r="A91" s="7" t="s">
        <v>880</v>
      </c>
      <c r="B91" s="7" t="s">
        <v>866</v>
      </c>
      <c r="C91" s="7" t="s">
        <v>881</v>
      </c>
      <c r="D91" s="7" t="s">
        <v>882</v>
      </c>
      <c r="E91" s="7" t="s">
        <v>883</v>
      </c>
      <c r="F91" s="7" t="s">
        <v>884</v>
      </c>
      <c r="G91" s="7" t="s">
        <v>885</v>
      </c>
      <c r="H91" s="7" t="s">
        <v>314</v>
      </c>
      <c r="I91" s="7" t="s">
        <v>22</v>
      </c>
      <c r="J91" s="7" t="s">
        <v>268</v>
      </c>
      <c r="K91" s="7" t="s">
        <v>253</v>
      </c>
      <c r="L91" s="7" t="s">
        <v>277</v>
      </c>
      <c r="M91" s="7" t="s">
        <v>70</v>
      </c>
      <c r="N91" s="7" t="s">
        <v>105</v>
      </c>
      <c r="O91" s="7" t="s">
        <v>886</v>
      </c>
      <c r="P91" s="7" t="s">
        <v>314</v>
      </c>
      <c r="Q91" s="7" t="s">
        <v>314</v>
      </c>
      <c r="R91" s="7" t="s">
        <v>314</v>
      </c>
      <c r="S91" s="7" t="s">
        <v>314</v>
      </c>
    </row>
    <row r="92" ht="72" customHeight="1" spans="1:19" x14ac:dyDescent="0.25">
      <c r="A92" s="5" t="s">
        <v>887</v>
      </c>
      <c r="B92" s="5" t="s">
        <v>866</v>
      </c>
      <c r="C92" s="5" t="s">
        <v>888</v>
      </c>
      <c r="D92" s="5" t="s">
        <v>889</v>
      </c>
      <c r="E92" s="5" t="s">
        <v>890</v>
      </c>
      <c r="F92" s="5" t="s">
        <v>891</v>
      </c>
      <c r="G92" s="5" t="s">
        <v>892</v>
      </c>
      <c r="H92" s="5" t="s">
        <v>314</v>
      </c>
      <c r="I92" s="5" t="s">
        <v>22</v>
      </c>
      <c r="J92" s="5" t="s">
        <v>268</v>
      </c>
      <c r="K92" s="5" t="s">
        <v>249</v>
      </c>
      <c r="L92" s="5" t="s">
        <v>277</v>
      </c>
      <c r="M92" s="5" t="s">
        <v>70</v>
      </c>
      <c r="N92" s="5" t="s">
        <v>105</v>
      </c>
      <c r="O92" s="5" t="s">
        <v>893</v>
      </c>
      <c r="P92" s="5" t="s">
        <v>314</v>
      </c>
      <c r="Q92" s="5" t="s">
        <v>314</v>
      </c>
      <c r="R92" s="5" t="s">
        <v>314</v>
      </c>
      <c r="S92" s="5" t="s">
        <v>314</v>
      </c>
    </row>
    <row r="93" ht="72" customHeight="1" spans="1:19" x14ac:dyDescent="0.25">
      <c r="A93" s="7" t="s">
        <v>894</v>
      </c>
      <c r="B93" s="7" t="s">
        <v>866</v>
      </c>
      <c r="C93" s="7" t="s">
        <v>895</v>
      </c>
      <c r="D93" s="7" t="s">
        <v>896</v>
      </c>
      <c r="E93" s="7" t="s">
        <v>897</v>
      </c>
      <c r="F93" s="7" t="s">
        <v>898</v>
      </c>
      <c r="G93" s="7" t="s">
        <v>899</v>
      </c>
      <c r="H93" s="7" t="s">
        <v>314</v>
      </c>
      <c r="I93" s="7" t="s">
        <v>22</v>
      </c>
      <c r="J93" s="7" t="s">
        <v>272</v>
      </c>
      <c r="K93" s="7" t="s">
        <v>253</v>
      </c>
      <c r="L93" s="7" t="s">
        <v>277</v>
      </c>
      <c r="M93" s="7" t="s">
        <v>70</v>
      </c>
      <c r="N93" s="7" t="s">
        <v>105</v>
      </c>
      <c r="O93" s="7" t="s">
        <v>900</v>
      </c>
      <c r="P93" s="7" t="s">
        <v>314</v>
      </c>
      <c r="Q93" s="7" t="s">
        <v>314</v>
      </c>
      <c r="R93" s="7" t="s">
        <v>314</v>
      </c>
      <c r="S93" s="7" t="s">
        <v>314</v>
      </c>
    </row>
    <row r="94" ht="72" customHeight="1" spans="1:19" x14ac:dyDescent="0.25">
      <c r="A94" s="5" t="s">
        <v>901</v>
      </c>
      <c r="B94" s="5" t="s">
        <v>866</v>
      </c>
      <c r="C94" s="5" t="s">
        <v>902</v>
      </c>
      <c r="D94" s="5" t="s">
        <v>903</v>
      </c>
      <c r="E94" s="5" t="s">
        <v>904</v>
      </c>
      <c r="F94" s="5" t="s">
        <v>905</v>
      </c>
      <c r="G94" s="5" t="s">
        <v>906</v>
      </c>
      <c r="H94" s="5" t="s">
        <v>314</v>
      </c>
      <c r="I94" s="5" t="s">
        <v>22</v>
      </c>
      <c r="J94" s="5" t="s">
        <v>268</v>
      </c>
      <c r="K94" s="5" t="s">
        <v>249</v>
      </c>
      <c r="L94" s="5" t="s">
        <v>277</v>
      </c>
      <c r="M94" s="5" t="s">
        <v>70</v>
      </c>
      <c r="N94" s="5" t="s">
        <v>105</v>
      </c>
      <c r="O94" s="5" t="s">
        <v>907</v>
      </c>
      <c r="P94" s="5" t="s">
        <v>314</v>
      </c>
      <c r="Q94" s="5" t="s">
        <v>314</v>
      </c>
      <c r="R94" s="5" t="s">
        <v>315</v>
      </c>
      <c r="S94" s="5" t="s">
        <v>314</v>
      </c>
    </row>
    <row r="95" ht="22" customHeight="1" spans="1:7" x14ac:dyDescent="0.25">
      <c r="A95" s="27" t="s">
        <v>908</v>
      </c>
      <c r="B95" s="27"/>
      <c r="C95" s="27"/>
      <c r="D95" s="27"/>
      <c r="E95" s="27"/>
      <c r="F95" s="27"/>
      <c r="G95" s="27"/>
    </row>
    <row r="96" ht="72" customHeight="1" spans="1:19" x14ac:dyDescent="0.25">
      <c r="A96" s="7" t="s">
        <v>909</v>
      </c>
      <c r="B96" s="7" t="s">
        <v>910</v>
      </c>
      <c r="C96" s="7" t="s">
        <v>911</v>
      </c>
      <c r="D96" s="7" t="s">
        <v>912</v>
      </c>
      <c r="E96" s="7" t="s">
        <v>913</v>
      </c>
      <c r="F96" s="7" t="s">
        <v>914</v>
      </c>
      <c r="G96" s="7" t="s">
        <v>915</v>
      </c>
      <c r="H96" s="7" t="s">
        <v>314</v>
      </c>
      <c r="I96" s="7" t="s">
        <v>22</v>
      </c>
      <c r="J96" s="7" t="s">
        <v>263</v>
      </c>
      <c r="K96" s="7" t="s">
        <v>249</v>
      </c>
      <c r="L96" s="7" t="s">
        <v>277</v>
      </c>
      <c r="M96" s="7" t="s">
        <v>70</v>
      </c>
      <c r="N96" s="7" t="s">
        <v>105</v>
      </c>
      <c r="O96" s="7" t="s">
        <v>911</v>
      </c>
      <c r="P96" s="7" t="s">
        <v>314</v>
      </c>
      <c r="Q96" s="7" t="s">
        <v>314</v>
      </c>
      <c r="R96" s="7" t="s">
        <v>304</v>
      </c>
      <c r="S96" s="7" t="s">
        <v>314</v>
      </c>
    </row>
    <row r="97" ht="72" customHeight="1" spans="1:19" x14ac:dyDescent="0.25">
      <c r="A97" s="5" t="s">
        <v>916</v>
      </c>
      <c r="B97" s="5" t="s">
        <v>910</v>
      </c>
      <c r="C97" s="5" t="s">
        <v>917</v>
      </c>
      <c r="D97" s="5" t="s">
        <v>918</v>
      </c>
      <c r="E97" s="5" t="s">
        <v>919</v>
      </c>
      <c r="F97" s="5" t="s">
        <v>920</v>
      </c>
      <c r="G97" s="5" t="s">
        <v>921</v>
      </c>
      <c r="H97" s="5" t="s">
        <v>314</v>
      </c>
      <c r="I97" s="5" t="s">
        <v>22</v>
      </c>
      <c r="J97" s="5" t="s">
        <v>268</v>
      </c>
      <c r="K97" s="5" t="s">
        <v>253</v>
      </c>
      <c r="L97" s="5" t="s">
        <v>277</v>
      </c>
      <c r="M97" s="5" t="s">
        <v>70</v>
      </c>
      <c r="N97" s="5" t="s">
        <v>105</v>
      </c>
      <c r="O97" s="5" t="s">
        <v>922</v>
      </c>
      <c r="P97" s="5" t="s">
        <v>314</v>
      </c>
      <c r="Q97" s="5" t="s">
        <v>314</v>
      </c>
      <c r="R97" s="5" t="s">
        <v>314</v>
      </c>
      <c r="S97" s="5" t="s">
        <v>314</v>
      </c>
    </row>
    <row r="98" ht="72" customHeight="1" spans="1:19" x14ac:dyDescent="0.25">
      <c r="A98" s="7" t="s">
        <v>923</v>
      </c>
      <c r="B98" s="7" t="s">
        <v>924</v>
      </c>
      <c r="C98" s="7" t="s">
        <v>925</v>
      </c>
      <c r="D98" s="7" t="s">
        <v>926</v>
      </c>
      <c r="E98" s="7" t="s">
        <v>927</v>
      </c>
      <c r="F98" s="7" t="s">
        <v>928</v>
      </c>
      <c r="G98" s="7" t="s">
        <v>929</v>
      </c>
      <c r="H98" s="7" t="s">
        <v>314</v>
      </c>
      <c r="I98" s="7" t="s">
        <v>22</v>
      </c>
      <c r="J98" s="7" t="s">
        <v>263</v>
      </c>
      <c r="K98" s="7" t="s">
        <v>249</v>
      </c>
      <c r="L98" s="7" t="s">
        <v>277</v>
      </c>
      <c r="M98" s="7" t="s">
        <v>70</v>
      </c>
      <c r="N98" s="7" t="s">
        <v>105</v>
      </c>
      <c r="O98" s="7" t="s">
        <v>930</v>
      </c>
      <c r="P98" s="7" t="s">
        <v>314</v>
      </c>
      <c r="Q98" s="7" t="s">
        <v>314</v>
      </c>
      <c r="R98" s="7" t="s">
        <v>304</v>
      </c>
      <c r="S98" s="7" t="s">
        <v>314</v>
      </c>
    </row>
    <row r="99" ht="72" customHeight="1" spans="1:19" x14ac:dyDescent="0.25">
      <c r="A99" s="5" t="s">
        <v>931</v>
      </c>
      <c r="B99" s="5" t="s">
        <v>924</v>
      </c>
      <c r="C99" s="5" t="s">
        <v>932</v>
      </c>
      <c r="D99" s="5" t="s">
        <v>933</v>
      </c>
      <c r="E99" s="5" t="s">
        <v>934</v>
      </c>
      <c r="F99" s="5" t="s">
        <v>935</v>
      </c>
      <c r="G99" s="5" t="s">
        <v>936</v>
      </c>
      <c r="H99" s="5" t="s">
        <v>314</v>
      </c>
      <c r="I99" s="5" t="s">
        <v>22</v>
      </c>
      <c r="J99" s="5" t="s">
        <v>268</v>
      </c>
      <c r="K99" s="5" t="s">
        <v>251</v>
      </c>
      <c r="L99" s="5" t="s">
        <v>277</v>
      </c>
      <c r="M99" s="5" t="s">
        <v>70</v>
      </c>
      <c r="N99" s="5" t="s">
        <v>105</v>
      </c>
      <c r="O99" s="5" t="s">
        <v>937</v>
      </c>
      <c r="P99" s="5" t="s">
        <v>314</v>
      </c>
      <c r="Q99" s="5" t="s">
        <v>314</v>
      </c>
      <c r="R99" s="5" t="s">
        <v>304</v>
      </c>
      <c r="S99" s="5" t="s">
        <v>314</v>
      </c>
    </row>
    <row r="100" ht="72" customHeight="1" spans="1:19" x14ac:dyDescent="0.25">
      <c r="A100" s="7" t="s">
        <v>938</v>
      </c>
      <c r="B100" s="7" t="s">
        <v>924</v>
      </c>
      <c r="C100" s="7" t="s">
        <v>939</v>
      </c>
      <c r="D100" s="7" t="s">
        <v>940</v>
      </c>
      <c r="E100" s="7" t="s">
        <v>941</v>
      </c>
      <c r="F100" s="7" t="s">
        <v>942</v>
      </c>
      <c r="G100" s="7" t="s">
        <v>943</v>
      </c>
      <c r="H100" s="7" t="s">
        <v>314</v>
      </c>
      <c r="I100" s="7" t="s">
        <v>22</v>
      </c>
      <c r="J100" s="7" t="s">
        <v>272</v>
      </c>
      <c r="K100" s="7" t="s">
        <v>249</v>
      </c>
      <c r="L100" s="7" t="s">
        <v>277</v>
      </c>
      <c r="M100" s="7" t="s">
        <v>70</v>
      </c>
      <c r="N100" s="7" t="s">
        <v>105</v>
      </c>
      <c r="O100" s="7" t="s">
        <v>944</v>
      </c>
      <c r="P100" s="7" t="s">
        <v>314</v>
      </c>
      <c r="Q100" s="7" t="s">
        <v>314</v>
      </c>
      <c r="R100" s="7" t="s">
        <v>314</v>
      </c>
      <c r="S100" s="7" t="s">
        <v>314</v>
      </c>
    </row>
    <row r="101" ht="22" customHeight="1" spans="1:7" x14ac:dyDescent="0.25">
      <c r="A101" s="27" t="s">
        <v>945</v>
      </c>
      <c r="B101" s="27"/>
      <c r="C101" s="27"/>
      <c r="D101" s="27"/>
      <c r="E101" s="27"/>
      <c r="F101" s="27"/>
      <c r="G101" s="27"/>
    </row>
    <row r="102" ht="72" customHeight="1" spans="1:19" x14ac:dyDescent="0.25">
      <c r="A102" s="7" t="s">
        <v>946</v>
      </c>
      <c r="B102" s="7" t="s">
        <v>191</v>
      </c>
      <c r="C102" s="7" t="s">
        <v>947</v>
      </c>
      <c r="D102" s="7" t="s">
        <v>948</v>
      </c>
      <c r="E102" s="7" t="s">
        <v>949</v>
      </c>
      <c r="F102" s="7" t="s">
        <v>950</v>
      </c>
      <c r="G102" s="7" t="s">
        <v>951</v>
      </c>
      <c r="H102" s="7" t="s">
        <v>314</v>
      </c>
      <c r="I102" s="7" t="s">
        <v>22</v>
      </c>
      <c r="J102" s="7" t="s">
        <v>263</v>
      </c>
      <c r="K102" s="7" t="s">
        <v>249</v>
      </c>
      <c r="L102" s="7" t="s">
        <v>277</v>
      </c>
      <c r="M102" s="7" t="s">
        <v>70</v>
      </c>
      <c r="N102" s="7" t="s">
        <v>105</v>
      </c>
      <c r="O102" s="7" t="s">
        <v>952</v>
      </c>
      <c r="P102" s="7" t="s">
        <v>314</v>
      </c>
      <c r="Q102" s="7" t="s">
        <v>314</v>
      </c>
      <c r="R102" s="7" t="s">
        <v>314</v>
      </c>
      <c r="S102" s="7" t="s">
        <v>314</v>
      </c>
    </row>
    <row r="103" ht="72" customHeight="1" spans="1:19" x14ac:dyDescent="0.25">
      <c r="A103" s="5" t="s">
        <v>953</v>
      </c>
      <c r="B103" s="5" t="s">
        <v>191</v>
      </c>
      <c r="C103" s="5" t="s">
        <v>954</v>
      </c>
      <c r="D103" s="5" t="s">
        <v>955</v>
      </c>
      <c r="E103" s="5" t="s">
        <v>956</v>
      </c>
      <c r="F103" s="5" t="s">
        <v>957</v>
      </c>
      <c r="G103" s="5" t="s">
        <v>958</v>
      </c>
      <c r="H103" s="5" t="s">
        <v>314</v>
      </c>
      <c r="I103" s="5" t="s">
        <v>22</v>
      </c>
      <c r="J103" s="5" t="s">
        <v>263</v>
      </c>
      <c r="K103" s="5" t="s">
        <v>249</v>
      </c>
      <c r="L103" s="5" t="s">
        <v>277</v>
      </c>
      <c r="M103" s="5" t="s">
        <v>70</v>
      </c>
      <c r="N103" s="5" t="s">
        <v>105</v>
      </c>
      <c r="O103" s="5" t="s">
        <v>959</v>
      </c>
      <c r="P103" s="5" t="s">
        <v>314</v>
      </c>
      <c r="Q103" s="5" t="s">
        <v>314</v>
      </c>
      <c r="R103" s="5" t="s">
        <v>314</v>
      </c>
      <c r="S103" s="5" t="s">
        <v>314</v>
      </c>
    </row>
    <row r="104" ht="72" customHeight="1" spans="1:19" x14ac:dyDescent="0.25">
      <c r="A104" s="7" t="s">
        <v>960</v>
      </c>
      <c r="B104" s="7" t="s">
        <v>191</v>
      </c>
      <c r="C104" s="7" t="s">
        <v>939</v>
      </c>
      <c r="D104" s="7" t="s">
        <v>961</v>
      </c>
      <c r="E104" s="7" t="s">
        <v>962</v>
      </c>
      <c r="F104" s="7" t="s">
        <v>963</v>
      </c>
      <c r="G104" s="7" t="s">
        <v>964</v>
      </c>
      <c r="H104" s="7" t="s">
        <v>314</v>
      </c>
      <c r="I104" s="7" t="s">
        <v>22</v>
      </c>
      <c r="J104" s="7" t="s">
        <v>272</v>
      </c>
      <c r="K104" s="7" t="s">
        <v>249</v>
      </c>
      <c r="L104" s="7" t="s">
        <v>277</v>
      </c>
      <c r="M104" s="7" t="s">
        <v>70</v>
      </c>
      <c r="N104" s="7" t="s">
        <v>105</v>
      </c>
      <c r="O104" s="7" t="s">
        <v>965</v>
      </c>
      <c r="P104" s="7" t="s">
        <v>314</v>
      </c>
      <c r="Q104" s="7" t="s">
        <v>314</v>
      </c>
      <c r="R104" s="7" t="s">
        <v>314</v>
      </c>
      <c r="S104" s="7" t="s">
        <v>314</v>
      </c>
    </row>
    <row r="105" ht="72" customHeight="1" spans="1:19" x14ac:dyDescent="0.25">
      <c r="A105" s="5" t="s">
        <v>966</v>
      </c>
      <c r="B105" s="5" t="s">
        <v>191</v>
      </c>
      <c r="C105" s="5" t="s">
        <v>967</v>
      </c>
      <c r="D105" s="5" t="s">
        <v>968</v>
      </c>
      <c r="E105" s="5" t="s">
        <v>969</v>
      </c>
      <c r="F105" s="5" t="s">
        <v>970</v>
      </c>
      <c r="G105" s="5" t="s">
        <v>971</v>
      </c>
      <c r="H105" s="5" t="s">
        <v>314</v>
      </c>
      <c r="I105" s="5" t="s">
        <v>22</v>
      </c>
      <c r="J105" s="5" t="s">
        <v>272</v>
      </c>
      <c r="K105" s="5" t="s">
        <v>253</v>
      </c>
      <c r="L105" s="5" t="s">
        <v>277</v>
      </c>
      <c r="M105" s="5" t="s">
        <v>70</v>
      </c>
      <c r="N105" s="5" t="s">
        <v>105</v>
      </c>
      <c r="O105" s="5" t="s">
        <v>972</v>
      </c>
      <c r="P105" s="5" t="s">
        <v>314</v>
      </c>
      <c r="Q105" s="5" t="s">
        <v>314</v>
      </c>
      <c r="R105" s="5" t="s">
        <v>314</v>
      </c>
      <c r="S105" s="5" t="s">
        <v>314</v>
      </c>
    </row>
    <row r="106" ht="72" customHeight="1" spans="1:19" x14ac:dyDescent="0.25">
      <c r="A106" s="7" t="s">
        <v>973</v>
      </c>
      <c r="B106" s="7" t="s">
        <v>193</v>
      </c>
      <c r="C106" s="7" t="s">
        <v>974</v>
      </c>
      <c r="D106" s="7" t="s">
        <v>975</v>
      </c>
      <c r="E106" s="7" t="s">
        <v>976</v>
      </c>
      <c r="F106" s="7" t="s">
        <v>977</v>
      </c>
      <c r="G106" s="7" t="s">
        <v>978</v>
      </c>
      <c r="H106" s="7" t="s">
        <v>314</v>
      </c>
      <c r="I106" s="7" t="s">
        <v>22</v>
      </c>
      <c r="J106" s="7" t="s">
        <v>263</v>
      </c>
      <c r="K106" s="7" t="s">
        <v>249</v>
      </c>
      <c r="L106" s="7" t="s">
        <v>277</v>
      </c>
      <c r="M106" s="7" t="s">
        <v>70</v>
      </c>
      <c r="N106" s="7" t="s">
        <v>105</v>
      </c>
      <c r="O106" s="7" t="s">
        <v>979</v>
      </c>
      <c r="P106" s="7" t="s">
        <v>314</v>
      </c>
      <c r="Q106" s="7" t="s">
        <v>314</v>
      </c>
      <c r="R106" s="7" t="s">
        <v>304</v>
      </c>
      <c r="S106" s="7" t="s">
        <v>314</v>
      </c>
    </row>
    <row r="107" ht="72" customHeight="1" spans="1:19" x14ac:dyDescent="0.25">
      <c r="A107" s="5" t="s">
        <v>980</v>
      </c>
      <c r="B107" s="5" t="s">
        <v>193</v>
      </c>
      <c r="C107" s="5" t="s">
        <v>981</v>
      </c>
      <c r="D107" s="5" t="s">
        <v>982</v>
      </c>
      <c r="E107" s="5" t="s">
        <v>983</v>
      </c>
      <c r="F107" s="5" t="s">
        <v>984</v>
      </c>
      <c r="G107" s="5" t="s">
        <v>985</v>
      </c>
      <c r="H107" s="5" t="s">
        <v>314</v>
      </c>
      <c r="I107" s="5" t="s">
        <v>22</v>
      </c>
      <c r="J107" s="5" t="s">
        <v>268</v>
      </c>
      <c r="K107" s="5" t="s">
        <v>249</v>
      </c>
      <c r="L107" s="5" t="s">
        <v>277</v>
      </c>
      <c r="M107" s="5" t="s">
        <v>70</v>
      </c>
      <c r="N107" s="5" t="s">
        <v>105</v>
      </c>
      <c r="O107" s="5" t="s">
        <v>986</v>
      </c>
      <c r="P107" s="5" t="s">
        <v>314</v>
      </c>
      <c r="Q107" s="5" t="s">
        <v>314</v>
      </c>
      <c r="R107" s="5" t="s">
        <v>314</v>
      </c>
      <c r="S107" s="5" t="s">
        <v>314</v>
      </c>
    </row>
    <row r="108" ht="72" customHeight="1" spans="1:19" x14ac:dyDescent="0.25">
      <c r="A108" s="7" t="s">
        <v>987</v>
      </c>
      <c r="B108" s="7" t="s">
        <v>193</v>
      </c>
      <c r="C108" s="7" t="s">
        <v>988</v>
      </c>
      <c r="D108" s="7" t="s">
        <v>989</v>
      </c>
      <c r="E108" s="7" t="s">
        <v>990</v>
      </c>
      <c r="F108" s="7" t="s">
        <v>991</v>
      </c>
      <c r="G108" s="7" t="s">
        <v>992</v>
      </c>
      <c r="H108" s="7" t="s">
        <v>314</v>
      </c>
      <c r="I108" s="7" t="s">
        <v>22</v>
      </c>
      <c r="J108" s="7" t="s">
        <v>272</v>
      </c>
      <c r="K108" s="7" t="s">
        <v>253</v>
      </c>
      <c r="L108" s="7" t="s">
        <v>277</v>
      </c>
      <c r="M108" s="7" t="s">
        <v>70</v>
      </c>
      <c r="N108" s="7" t="s">
        <v>105</v>
      </c>
      <c r="O108" s="7" t="s">
        <v>993</v>
      </c>
      <c r="P108" s="7" t="s">
        <v>314</v>
      </c>
      <c r="Q108" s="7" t="s">
        <v>314</v>
      </c>
      <c r="R108" s="7" t="s">
        <v>314</v>
      </c>
      <c r="S108" s="7" t="s">
        <v>314</v>
      </c>
    </row>
    <row r="109" ht="72" customHeight="1" spans="1:19" x14ac:dyDescent="0.25">
      <c r="A109" s="5" t="s">
        <v>994</v>
      </c>
      <c r="B109" s="5" t="s">
        <v>193</v>
      </c>
      <c r="C109" s="5" t="s">
        <v>939</v>
      </c>
      <c r="D109" s="5" t="s">
        <v>995</v>
      </c>
      <c r="E109" s="5" t="s">
        <v>996</v>
      </c>
      <c r="F109" s="5" t="s">
        <v>997</v>
      </c>
      <c r="G109" s="5" t="s">
        <v>998</v>
      </c>
      <c r="H109" s="5" t="s">
        <v>314</v>
      </c>
      <c r="I109" s="5" t="s">
        <v>22</v>
      </c>
      <c r="J109" s="5" t="s">
        <v>272</v>
      </c>
      <c r="K109" s="5" t="s">
        <v>249</v>
      </c>
      <c r="L109" s="5" t="s">
        <v>277</v>
      </c>
      <c r="M109" s="5" t="s">
        <v>70</v>
      </c>
      <c r="N109" s="5" t="s">
        <v>105</v>
      </c>
      <c r="O109" s="5" t="s">
        <v>999</v>
      </c>
      <c r="P109" s="5" t="s">
        <v>314</v>
      </c>
      <c r="Q109" s="5" t="s">
        <v>314</v>
      </c>
      <c r="R109" s="5" t="s">
        <v>314</v>
      </c>
      <c r="S109" s="5" t="s">
        <v>314</v>
      </c>
    </row>
    <row r="110" ht="22" customHeight="1" spans="1:7" x14ac:dyDescent="0.25">
      <c r="A110" s="27" t="s">
        <v>1000</v>
      </c>
      <c r="B110" s="27"/>
      <c r="C110" s="27"/>
      <c r="D110" s="27"/>
      <c r="E110" s="27"/>
      <c r="F110" s="27"/>
      <c r="G110" s="27"/>
    </row>
    <row r="111" ht="72" customHeight="1" spans="1:19" x14ac:dyDescent="0.25">
      <c r="A111" s="7" t="s">
        <v>1001</v>
      </c>
      <c r="B111" s="7" t="s">
        <v>235</v>
      </c>
      <c r="C111" s="7" t="s">
        <v>1002</v>
      </c>
      <c r="D111" s="7" t="s">
        <v>1003</v>
      </c>
      <c r="E111" s="7" t="s">
        <v>1004</v>
      </c>
      <c r="F111" s="7" t="s">
        <v>1005</v>
      </c>
      <c r="G111" s="7" t="s">
        <v>1006</v>
      </c>
      <c r="H111" s="7" t="s">
        <v>314</v>
      </c>
      <c r="I111" s="7" t="s">
        <v>22</v>
      </c>
      <c r="J111" s="7" t="s">
        <v>263</v>
      </c>
      <c r="K111" s="7" t="s">
        <v>249</v>
      </c>
      <c r="L111" s="7" t="s">
        <v>277</v>
      </c>
      <c r="M111" s="7" t="s">
        <v>70</v>
      </c>
      <c r="N111" s="7" t="s">
        <v>105</v>
      </c>
      <c r="O111" s="7" t="s">
        <v>1002</v>
      </c>
      <c r="P111" s="7" t="s">
        <v>314</v>
      </c>
      <c r="Q111" s="7" t="s">
        <v>314</v>
      </c>
      <c r="R111" s="7" t="s">
        <v>315</v>
      </c>
      <c r="S111" s="7" t="s">
        <v>314</v>
      </c>
    </row>
    <row r="112" ht="72" customHeight="1" spans="1:19" x14ac:dyDescent="0.25">
      <c r="A112" s="5" t="s">
        <v>1007</v>
      </c>
      <c r="B112" s="5" t="s">
        <v>235</v>
      </c>
      <c r="C112" s="5" t="s">
        <v>1008</v>
      </c>
      <c r="D112" s="5" t="s">
        <v>1009</v>
      </c>
      <c r="E112" s="5" t="s">
        <v>1010</v>
      </c>
      <c r="F112" s="5" t="s">
        <v>1008</v>
      </c>
      <c r="G112" s="5" t="s">
        <v>1011</v>
      </c>
      <c r="H112" s="5" t="s">
        <v>314</v>
      </c>
      <c r="I112" s="5" t="s">
        <v>22</v>
      </c>
      <c r="J112" s="5" t="s">
        <v>268</v>
      </c>
      <c r="K112" s="5" t="s">
        <v>249</v>
      </c>
      <c r="L112" s="5" t="s">
        <v>277</v>
      </c>
      <c r="M112" s="5" t="s">
        <v>70</v>
      </c>
      <c r="N112" s="5" t="s">
        <v>105</v>
      </c>
      <c r="O112" s="5" t="s">
        <v>1008</v>
      </c>
      <c r="P112" s="5" t="s">
        <v>314</v>
      </c>
      <c r="Q112" s="5" t="s">
        <v>314</v>
      </c>
      <c r="R112" s="5" t="s">
        <v>314</v>
      </c>
      <c r="S112" s="5" t="s">
        <v>314</v>
      </c>
    </row>
    <row r="113" ht="72" customHeight="1" spans="1:19" x14ac:dyDescent="0.25">
      <c r="A113" s="7" t="s">
        <v>1012</v>
      </c>
      <c r="B113" s="7" t="s">
        <v>235</v>
      </c>
      <c r="C113" s="7" t="s">
        <v>1013</v>
      </c>
      <c r="D113" s="7" t="s">
        <v>1014</v>
      </c>
      <c r="E113" s="7" t="s">
        <v>1015</v>
      </c>
      <c r="F113" s="7" t="s">
        <v>1016</v>
      </c>
      <c r="G113" s="7" t="s">
        <v>1017</v>
      </c>
      <c r="H113" s="7" t="s">
        <v>314</v>
      </c>
      <c r="I113" s="7" t="s">
        <v>22</v>
      </c>
      <c r="J113" s="7" t="s">
        <v>268</v>
      </c>
      <c r="K113" s="7" t="s">
        <v>249</v>
      </c>
      <c r="L113" s="7" t="s">
        <v>277</v>
      </c>
      <c r="M113" s="7" t="s">
        <v>70</v>
      </c>
      <c r="N113" s="7" t="s">
        <v>105</v>
      </c>
      <c r="O113" s="7" t="s">
        <v>1013</v>
      </c>
      <c r="P113" s="7" t="s">
        <v>314</v>
      </c>
      <c r="Q113" s="7" t="s">
        <v>314</v>
      </c>
      <c r="R113" s="7" t="s">
        <v>314</v>
      </c>
      <c r="S113" s="7" t="s">
        <v>314</v>
      </c>
    </row>
    <row r="114" ht="72" customHeight="1" spans="1:19" x14ac:dyDescent="0.25">
      <c r="A114" s="5" t="s">
        <v>1018</v>
      </c>
      <c r="B114" s="5" t="s">
        <v>235</v>
      </c>
      <c r="C114" s="5" t="s">
        <v>1019</v>
      </c>
      <c r="D114" s="5" t="s">
        <v>1020</v>
      </c>
      <c r="E114" s="5" t="s">
        <v>1021</v>
      </c>
      <c r="F114" s="5" t="s">
        <v>1022</v>
      </c>
      <c r="G114" s="5" t="s">
        <v>1023</v>
      </c>
      <c r="H114" s="5" t="s">
        <v>314</v>
      </c>
      <c r="I114" s="5" t="s">
        <v>22</v>
      </c>
      <c r="J114" s="5" t="s">
        <v>263</v>
      </c>
      <c r="K114" s="5" t="s">
        <v>249</v>
      </c>
      <c r="L114" s="5" t="s">
        <v>277</v>
      </c>
      <c r="M114" s="5" t="s">
        <v>70</v>
      </c>
      <c r="N114" s="5" t="s">
        <v>105</v>
      </c>
      <c r="O114" s="5" t="s">
        <v>1019</v>
      </c>
      <c r="P114" s="5" t="s">
        <v>314</v>
      </c>
      <c r="Q114" s="5" t="s">
        <v>314</v>
      </c>
      <c r="R114" s="5" t="s">
        <v>314</v>
      </c>
      <c r="S114" s="5" t="s">
        <v>314</v>
      </c>
    </row>
    <row r="115" ht="72" customHeight="1" spans="1:19" x14ac:dyDescent="0.25">
      <c r="A115" s="7" t="s">
        <v>1024</v>
      </c>
      <c r="B115" s="7" t="s">
        <v>235</v>
      </c>
      <c r="C115" s="7" t="s">
        <v>1025</v>
      </c>
      <c r="D115" s="7" t="s">
        <v>1026</v>
      </c>
      <c r="E115" s="7" t="s">
        <v>1027</v>
      </c>
      <c r="F115" s="7" t="s">
        <v>1028</v>
      </c>
      <c r="G115" s="7" t="s">
        <v>1029</v>
      </c>
      <c r="H115" s="7" t="s">
        <v>314</v>
      </c>
      <c r="I115" s="7" t="s">
        <v>22</v>
      </c>
      <c r="J115" s="7" t="s">
        <v>268</v>
      </c>
      <c r="K115" s="7" t="s">
        <v>249</v>
      </c>
      <c r="L115" s="7" t="s">
        <v>277</v>
      </c>
      <c r="M115" s="7" t="s">
        <v>70</v>
      </c>
      <c r="N115" s="7" t="s">
        <v>105</v>
      </c>
      <c r="O115" s="7" t="s">
        <v>1025</v>
      </c>
      <c r="P115" s="7" t="s">
        <v>314</v>
      </c>
      <c r="Q115" s="7" t="s">
        <v>314</v>
      </c>
      <c r="R115" s="7" t="s">
        <v>314</v>
      </c>
      <c r="S115" s="7" t="s">
        <v>314</v>
      </c>
    </row>
    <row r="116" ht="72" customHeight="1" spans="1:19" x14ac:dyDescent="0.25">
      <c r="A116" s="5" t="s">
        <v>1030</v>
      </c>
      <c r="B116" s="5" t="s">
        <v>235</v>
      </c>
      <c r="C116" s="5" t="s">
        <v>1031</v>
      </c>
      <c r="D116" s="5" t="s">
        <v>1032</v>
      </c>
      <c r="E116" s="5" t="s">
        <v>1033</v>
      </c>
      <c r="F116" s="5" t="s">
        <v>1034</v>
      </c>
      <c r="G116" s="5" t="s">
        <v>1035</v>
      </c>
      <c r="H116" s="5" t="s">
        <v>314</v>
      </c>
      <c r="I116" s="5" t="s">
        <v>22</v>
      </c>
      <c r="J116" s="5" t="s">
        <v>263</v>
      </c>
      <c r="K116" s="5" t="s">
        <v>249</v>
      </c>
      <c r="L116" s="5" t="s">
        <v>277</v>
      </c>
      <c r="M116" s="5" t="s">
        <v>70</v>
      </c>
      <c r="N116" s="5" t="s">
        <v>105</v>
      </c>
      <c r="O116" s="5" t="s">
        <v>1031</v>
      </c>
      <c r="P116" s="5" t="s">
        <v>314</v>
      </c>
      <c r="Q116" s="5" t="s">
        <v>314</v>
      </c>
      <c r="R116" s="5" t="s">
        <v>315</v>
      </c>
      <c r="S116" s="5" t="s">
        <v>314</v>
      </c>
    </row>
    <row r="117" ht="72" customHeight="1" spans="1:19" x14ac:dyDescent="0.25">
      <c r="A117" s="7" t="s">
        <v>1036</v>
      </c>
      <c r="B117" s="7" t="s">
        <v>235</v>
      </c>
      <c r="C117" s="7" t="s">
        <v>939</v>
      </c>
      <c r="D117" s="7" t="s">
        <v>1037</v>
      </c>
      <c r="E117" s="7" t="s">
        <v>1038</v>
      </c>
      <c r="F117" s="7" t="s">
        <v>1039</v>
      </c>
      <c r="G117" s="7" t="s">
        <v>1040</v>
      </c>
      <c r="H117" s="7" t="s">
        <v>314</v>
      </c>
      <c r="I117" s="7" t="s">
        <v>22</v>
      </c>
      <c r="J117" s="7" t="s">
        <v>268</v>
      </c>
      <c r="K117" s="7" t="s">
        <v>249</v>
      </c>
      <c r="L117" s="7" t="s">
        <v>277</v>
      </c>
      <c r="M117" s="7" t="s">
        <v>70</v>
      </c>
      <c r="N117" s="7" t="s">
        <v>105</v>
      </c>
      <c r="O117" s="7" t="s">
        <v>1041</v>
      </c>
      <c r="P117" s="7" t="s">
        <v>314</v>
      </c>
      <c r="Q117" s="7" t="s">
        <v>314</v>
      </c>
      <c r="R117" s="7" t="s">
        <v>314</v>
      </c>
      <c r="S117" s="7" t="s">
        <v>314</v>
      </c>
    </row>
    <row r="118" ht="72" customHeight="1" spans="1:19" x14ac:dyDescent="0.25">
      <c r="A118" s="5" t="s">
        <v>1042</v>
      </c>
      <c r="B118" s="5" t="s">
        <v>235</v>
      </c>
      <c r="C118" s="5" t="s">
        <v>1008</v>
      </c>
      <c r="D118" s="5" t="s">
        <v>1043</v>
      </c>
      <c r="E118" s="5" t="s">
        <v>1044</v>
      </c>
      <c r="F118" s="5" t="s">
        <v>1045</v>
      </c>
      <c r="G118" s="5" t="s">
        <v>1046</v>
      </c>
      <c r="H118" s="5" t="s">
        <v>314</v>
      </c>
      <c r="I118" s="5" t="s">
        <v>22</v>
      </c>
      <c r="J118" s="5" t="s">
        <v>272</v>
      </c>
      <c r="K118" s="5" t="s">
        <v>251</v>
      </c>
      <c r="L118" s="5" t="s">
        <v>277</v>
      </c>
      <c r="M118" s="5" t="s">
        <v>70</v>
      </c>
      <c r="N118" s="5" t="s">
        <v>105</v>
      </c>
      <c r="O118" s="5" t="s">
        <v>1047</v>
      </c>
      <c r="P118" s="5" t="s">
        <v>314</v>
      </c>
      <c r="Q118" s="5" t="s">
        <v>314</v>
      </c>
      <c r="R118" s="5" t="s">
        <v>314</v>
      </c>
      <c r="S118" s="5" t="s">
        <v>314</v>
      </c>
    </row>
    <row r="119" ht="72" customHeight="1" spans="1:19" x14ac:dyDescent="0.25">
      <c r="A119" s="7" t="s">
        <v>1048</v>
      </c>
      <c r="B119" s="7" t="s">
        <v>235</v>
      </c>
      <c r="C119" s="7" t="s">
        <v>1049</v>
      </c>
      <c r="D119" s="7" t="s">
        <v>1050</v>
      </c>
      <c r="E119" s="7" t="s">
        <v>1051</v>
      </c>
      <c r="F119" s="7" t="s">
        <v>1052</v>
      </c>
      <c r="G119" s="7" t="s">
        <v>1053</v>
      </c>
      <c r="H119" s="7" t="s">
        <v>314</v>
      </c>
      <c r="I119" s="7" t="s">
        <v>22</v>
      </c>
      <c r="J119" s="7" t="s">
        <v>272</v>
      </c>
      <c r="K119" s="7" t="s">
        <v>251</v>
      </c>
      <c r="L119" s="7" t="s">
        <v>277</v>
      </c>
      <c r="M119" s="7" t="s">
        <v>70</v>
      </c>
      <c r="N119" s="7" t="s">
        <v>105</v>
      </c>
      <c r="O119" s="7" t="s">
        <v>1054</v>
      </c>
      <c r="P119" s="7" t="s">
        <v>314</v>
      </c>
      <c r="Q119" s="7" t="s">
        <v>314</v>
      </c>
      <c r="R119" s="7" t="s">
        <v>314</v>
      </c>
      <c r="S119" s="7" t="s">
        <v>314</v>
      </c>
    </row>
    <row r="120" ht="22" customHeight="1" spans="1:7" x14ac:dyDescent="0.25">
      <c r="A120" s="27" t="s">
        <v>1055</v>
      </c>
      <c r="B120" s="27"/>
      <c r="C120" s="27"/>
      <c r="D120" s="27"/>
      <c r="E120" s="27"/>
      <c r="F120" s="27"/>
      <c r="G120" s="27"/>
    </row>
    <row r="121" ht="72" customHeight="1" spans="1:19" x14ac:dyDescent="0.25">
      <c r="A121" s="7" t="s">
        <v>1056</v>
      </c>
      <c r="B121" s="7" t="s">
        <v>1057</v>
      </c>
      <c r="C121" s="7" t="s">
        <v>662</v>
      </c>
      <c r="D121" s="7" t="s">
        <v>1058</v>
      </c>
      <c r="E121" s="7" t="s">
        <v>1059</v>
      </c>
      <c r="F121" s="7" t="s">
        <v>1060</v>
      </c>
      <c r="G121" s="7" t="s">
        <v>1061</v>
      </c>
      <c r="H121" s="7" t="s">
        <v>314</v>
      </c>
      <c r="I121" s="7" t="s">
        <v>22</v>
      </c>
      <c r="J121" s="7" t="s">
        <v>268</v>
      </c>
      <c r="K121" s="7" t="s">
        <v>249</v>
      </c>
      <c r="L121" s="7" t="s">
        <v>277</v>
      </c>
      <c r="M121" s="7" t="s">
        <v>70</v>
      </c>
      <c r="N121" s="7" t="s">
        <v>105</v>
      </c>
      <c r="O121" s="7" t="s">
        <v>1062</v>
      </c>
      <c r="P121" s="7" t="s">
        <v>314</v>
      </c>
      <c r="Q121" s="7" t="s">
        <v>314</v>
      </c>
      <c r="R121" s="7" t="s">
        <v>314</v>
      </c>
      <c r="S121" s="7" t="s">
        <v>314</v>
      </c>
    </row>
    <row r="122" ht="72" customHeight="1" spans="1:19" x14ac:dyDescent="0.25">
      <c r="A122" s="5" t="s">
        <v>1063</v>
      </c>
      <c r="B122" s="5" t="s">
        <v>1057</v>
      </c>
      <c r="C122" s="5" t="s">
        <v>1064</v>
      </c>
      <c r="D122" s="5" t="s">
        <v>1065</v>
      </c>
      <c r="E122" s="5" t="s">
        <v>1066</v>
      </c>
      <c r="F122" s="5" t="s">
        <v>1067</v>
      </c>
      <c r="G122" s="5" t="s">
        <v>1068</v>
      </c>
      <c r="H122" s="5" t="s">
        <v>314</v>
      </c>
      <c r="I122" s="5" t="s">
        <v>22</v>
      </c>
      <c r="J122" s="5" t="s">
        <v>268</v>
      </c>
      <c r="K122" s="5" t="s">
        <v>249</v>
      </c>
      <c r="L122" s="5" t="s">
        <v>277</v>
      </c>
      <c r="M122" s="5" t="s">
        <v>70</v>
      </c>
      <c r="N122" s="5" t="s">
        <v>105</v>
      </c>
      <c r="O122" s="5" t="s">
        <v>1069</v>
      </c>
      <c r="P122" s="5" t="s">
        <v>314</v>
      </c>
      <c r="Q122" s="5" t="s">
        <v>314</v>
      </c>
      <c r="R122" s="5" t="s">
        <v>314</v>
      </c>
      <c r="S122" s="5" t="s">
        <v>314</v>
      </c>
    </row>
    <row r="123" ht="72" customHeight="1" spans="1:19" x14ac:dyDescent="0.25">
      <c r="A123" s="7" t="s">
        <v>1070</v>
      </c>
      <c r="B123" s="7" t="s">
        <v>1057</v>
      </c>
      <c r="C123" s="7" t="s">
        <v>1071</v>
      </c>
      <c r="D123" s="7" t="s">
        <v>1072</v>
      </c>
      <c r="E123" s="7" t="s">
        <v>1073</v>
      </c>
      <c r="F123" s="7" t="s">
        <v>1074</v>
      </c>
      <c r="G123" s="7" t="s">
        <v>1075</v>
      </c>
      <c r="H123" s="7" t="s">
        <v>314</v>
      </c>
      <c r="I123" s="7" t="s">
        <v>22</v>
      </c>
      <c r="J123" s="7" t="s">
        <v>272</v>
      </c>
      <c r="K123" s="7" t="s">
        <v>249</v>
      </c>
      <c r="L123" s="7" t="s">
        <v>277</v>
      </c>
      <c r="M123" s="7" t="s">
        <v>70</v>
      </c>
      <c r="N123" s="7" t="s">
        <v>105</v>
      </c>
      <c r="O123" s="7" t="s">
        <v>1076</v>
      </c>
      <c r="P123" s="7" t="s">
        <v>314</v>
      </c>
      <c r="Q123" s="7" t="s">
        <v>314</v>
      </c>
      <c r="R123" s="7" t="s">
        <v>314</v>
      </c>
      <c r="S123" s="7" t="s">
        <v>314</v>
      </c>
    </row>
    <row r="124" ht="72" customHeight="1" spans="1:19" x14ac:dyDescent="0.25">
      <c r="A124" s="5" t="s">
        <v>1077</v>
      </c>
      <c r="B124" s="5" t="s">
        <v>1057</v>
      </c>
      <c r="C124" s="5" t="s">
        <v>704</v>
      </c>
      <c r="D124" s="5" t="s">
        <v>1078</v>
      </c>
      <c r="E124" s="5" t="s">
        <v>1079</v>
      </c>
      <c r="F124" s="5" t="s">
        <v>704</v>
      </c>
      <c r="G124" s="5" t="s">
        <v>1080</v>
      </c>
      <c r="H124" s="5" t="s">
        <v>314</v>
      </c>
      <c r="I124" s="5" t="s">
        <v>22</v>
      </c>
      <c r="J124" s="5" t="s">
        <v>272</v>
      </c>
      <c r="K124" s="5" t="s">
        <v>253</v>
      </c>
      <c r="L124" s="5" t="s">
        <v>277</v>
      </c>
      <c r="M124" s="5" t="s">
        <v>70</v>
      </c>
      <c r="N124" s="5" t="s">
        <v>105</v>
      </c>
      <c r="O124" s="5" t="s">
        <v>1081</v>
      </c>
      <c r="P124" s="5" t="s">
        <v>314</v>
      </c>
      <c r="Q124" s="5" t="s">
        <v>314</v>
      </c>
      <c r="R124" s="5" t="s">
        <v>314</v>
      </c>
      <c r="S124" s="5" t="s">
        <v>314</v>
      </c>
    </row>
    <row r="125" ht="22" customHeight="1" spans="1:7" x14ac:dyDescent="0.25">
      <c r="A125" s="27" t="s">
        <v>1082</v>
      </c>
      <c r="B125" s="27"/>
      <c r="C125" s="27"/>
      <c r="D125" s="27"/>
      <c r="E125" s="27"/>
      <c r="F125" s="27"/>
      <c r="G125" s="27"/>
    </row>
    <row r="126" ht="72" customHeight="1" spans="1:19" x14ac:dyDescent="0.25">
      <c r="A126" s="7" t="s">
        <v>1083</v>
      </c>
      <c r="B126" s="7" t="s">
        <v>52</v>
      </c>
      <c r="C126" s="7" t="s">
        <v>1084</v>
      </c>
      <c r="D126" s="7" t="s">
        <v>1085</v>
      </c>
      <c r="E126" s="7" t="s">
        <v>1086</v>
      </c>
      <c r="F126" s="7" t="s">
        <v>1087</v>
      </c>
      <c r="G126" s="7" t="s">
        <v>1088</v>
      </c>
      <c r="H126" s="7" t="s">
        <v>314</v>
      </c>
      <c r="I126" s="7" t="s">
        <v>22</v>
      </c>
      <c r="J126" s="7" t="s">
        <v>263</v>
      </c>
      <c r="K126" s="7" t="s">
        <v>249</v>
      </c>
      <c r="L126" s="7" t="s">
        <v>277</v>
      </c>
      <c r="M126" s="7" t="s">
        <v>70</v>
      </c>
      <c r="N126" s="7" t="s">
        <v>105</v>
      </c>
      <c r="O126" s="7" t="s">
        <v>1089</v>
      </c>
      <c r="P126" s="7" t="s">
        <v>314</v>
      </c>
      <c r="Q126" s="7" t="s">
        <v>314</v>
      </c>
      <c r="R126" s="7" t="s">
        <v>314</v>
      </c>
      <c r="S126" s="7" t="s">
        <v>314</v>
      </c>
    </row>
    <row r="127" ht="72" customHeight="1" spans="1:19" x14ac:dyDescent="0.25">
      <c r="A127" s="5" t="s">
        <v>1090</v>
      </c>
      <c r="B127" s="5" t="s">
        <v>52</v>
      </c>
      <c r="C127" s="5" t="s">
        <v>1091</v>
      </c>
      <c r="D127" s="5" t="s">
        <v>1092</v>
      </c>
      <c r="E127" s="5" t="s">
        <v>1093</v>
      </c>
      <c r="F127" s="5" t="s">
        <v>1094</v>
      </c>
      <c r="G127" s="5" t="s">
        <v>1095</v>
      </c>
      <c r="H127" s="5" t="s">
        <v>314</v>
      </c>
      <c r="I127" s="5" t="s">
        <v>22</v>
      </c>
      <c r="J127" s="5" t="s">
        <v>268</v>
      </c>
      <c r="K127" s="5" t="s">
        <v>253</v>
      </c>
      <c r="L127" s="5" t="s">
        <v>277</v>
      </c>
      <c r="M127" s="5" t="s">
        <v>70</v>
      </c>
      <c r="N127" s="5" t="s">
        <v>105</v>
      </c>
      <c r="O127" s="5" t="s">
        <v>1096</v>
      </c>
      <c r="P127" s="5" t="s">
        <v>314</v>
      </c>
      <c r="Q127" s="5" t="s">
        <v>314</v>
      </c>
      <c r="R127" s="5" t="s">
        <v>314</v>
      </c>
      <c r="S127" s="5" t="s">
        <v>314</v>
      </c>
    </row>
    <row r="128" ht="72" customHeight="1" spans="1:19" x14ac:dyDescent="0.25">
      <c r="A128" s="7" t="s">
        <v>1097</v>
      </c>
      <c r="B128" s="7" t="s">
        <v>52</v>
      </c>
      <c r="C128" s="7" t="s">
        <v>851</v>
      </c>
      <c r="D128" s="7" t="s">
        <v>1098</v>
      </c>
      <c r="E128" s="7" t="s">
        <v>1099</v>
      </c>
      <c r="F128" s="7" t="s">
        <v>1100</v>
      </c>
      <c r="G128" s="7" t="s">
        <v>1101</v>
      </c>
      <c r="H128" s="7" t="s">
        <v>314</v>
      </c>
      <c r="I128" s="7" t="s">
        <v>22</v>
      </c>
      <c r="J128" s="7" t="s">
        <v>268</v>
      </c>
      <c r="K128" s="7" t="s">
        <v>251</v>
      </c>
      <c r="L128" s="7" t="s">
        <v>277</v>
      </c>
      <c r="M128" s="7" t="s">
        <v>70</v>
      </c>
      <c r="N128" s="7" t="s">
        <v>105</v>
      </c>
      <c r="O128" s="7" t="s">
        <v>1102</v>
      </c>
      <c r="P128" s="7" t="s">
        <v>314</v>
      </c>
      <c r="Q128" s="7" t="s">
        <v>314</v>
      </c>
      <c r="R128" s="7" t="s">
        <v>314</v>
      </c>
      <c r="S128" s="7" t="s">
        <v>314</v>
      </c>
    </row>
    <row r="129" ht="72" customHeight="1" spans="1:19" x14ac:dyDescent="0.25">
      <c r="A129" s="5" t="s">
        <v>1103</v>
      </c>
      <c r="B129" s="5" t="s">
        <v>52</v>
      </c>
      <c r="C129" s="5" t="s">
        <v>1104</v>
      </c>
      <c r="D129" s="5" t="s">
        <v>1105</v>
      </c>
      <c r="E129" s="5" t="s">
        <v>1106</v>
      </c>
      <c r="F129" s="5" t="s">
        <v>1107</v>
      </c>
      <c r="G129" s="5" t="s">
        <v>1108</v>
      </c>
      <c r="H129" s="5" t="s">
        <v>314</v>
      </c>
      <c r="I129" s="5" t="s">
        <v>22</v>
      </c>
      <c r="J129" s="5" t="s">
        <v>268</v>
      </c>
      <c r="K129" s="5" t="s">
        <v>249</v>
      </c>
      <c r="L129" s="5" t="s">
        <v>277</v>
      </c>
      <c r="M129" s="5" t="s">
        <v>70</v>
      </c>
      <c r="N129" s="5" t="s">
        <v>105</v>
      </c>
      <c r="O129" s="5" t="s">
        <v>1109</v>
      </c>
      <c r="P129" s="5" t="s">
        <v>314</v>
      </c>
      <c r="Q129" s="5" t="s">
        <v>314</v>
      </c>
      <c r="R129" s="5" t="s">
        <v>314</v>
      </c>
      <c r="S129" s="5" t="s">
        <v>314</v>
      </c>
    </row>
    <row r="130" ht="22" customHeight="1" spans="1:7" x14ac:dyDescent="0.25">
      <c r="A130" s="27" t="s">
        <v>1110</v>
      </c>
      <c r="B130" s="27"/>
      <c r="C130" s="27"/>
      <c r="D130" s="27"/>
      <c r="E130" s="27"/>
      <c r="F130" s="27"/>
      <c r="G130" s="27"/>
    </row>
    <row r="131" ht="72" customHeight="1" spans="1:19" x14ac:dyDescent="0.25">
      <c r="A131" s="7" t="s">
        <v>1111</v>
      </c>
      <c r="B131" s="7" t="s">
        <v>52</v>
      </c>
      <c r="C131" s="7" t="s">
        <v>1112</v>
      </c>
      <c r="D131" s="7" t="s">
        <v>1113</v>
      </c>
      <c r="E131" s="7" t="s">
        <v>1114</v>
      </c>
      <c r="F131" s="7" t="s">
        <v>1115</v>
      </c>
      <c r="G131" s="7" t="s">
        <v>1116</v>
      </c>
      <c r="H131" s="7" t="s">
        <v>314</v>
      </c>
      <c r="I131" s="7" t="s">
        <v>22</v>
      </c>
      <c r="J131" s="7" t="s">
        <v>263</v>
      </c>
      <c r="K131" s="7" t="s">
        <v>249</v>
      </c>
      <c r="L131" s="7" t="s">
        <v>277</v>
      </c>
      <c r="M131" s="7" t="s">
        <v>70</v>
      </c>
      <c r="N131" s="7" t="s">
        <v>105</v>
      </c>
      <c r="O131" s="7" t="s">
        <v>1117</v>
      </c>
      <c r="P131" s="7" t="s">
        <v>314</v>
      </c>
      <c r="Q131" s="7" t="s">
        <v>314</v>
      </c>
      <c r="R131" s="7" t="s">
        <v>314</v>
      </c>
      <c r="S131" s="7" t="s">
        <v>314</v>
      </c>
    </row>
    <row r="132" ht="72" customHeight="1" spans="1:19" x14ac:dyDescent="0.25">
      <c r="A132" s="5" t="s">
        <v>1118</v>
      </c>
      <c r="B132" s="5" t="s">
        <v>52</v>
      </c>
      <c r="C132" s="5" t="s">
        <v>1119</v>
      </c>
      <c r="D132" s="5" t="s">
        <v>1120</v>
      </c>
      <c r="E132" s="5" t="s">
        <v>1121</v>
      </c>
      <c r="F132" s="5" t="s">
        <v>1122</v>
      </c>
      <c r="G132" s="5" t="s">
        <v>1123</v>
      </c>
      <c r="H132" s="5" t="s">
        <v>314</v>
      </c>
      <c r="I132" s="5" t="s">
        <v>22</v>
      </c>
      <c r="J132" s="5" t="s">
        <v>263</v>
      </c>
      <c r="K132" s="5" t="s">
        <v>249</v>
      </c>
      <c r="L132" s="5" t="s">
        <v>277</v>
      </c>
      <c r="M132" s="5" t="s">
        <v>70</v>
      </c>
      <c r="N132" s="5" t="s">
        <v>105</v>
      </c>
      <c r="O132" s="5" t="s">
        <v>1124</v>
      </c>
      <c r="P132" s="5" t="s">
        <v>314</v>
      </c>
      <c r="Q132" s="5" t="s">
        <v>314</v>
      </c>
      <c r="R132" s="5" t="s">
        <v>314</v>
      </c>
      <c r="S132" s="5" t="s">
        <v>314</v>
      </c>
    </row>
    <row r="133" ht="72" customHeight="1" spans="1:19" x14ac:dyDescent="0.25">
      <c r="A133" s="7" t="s">
        <v>1125</v>
      </c>
      <c r="B133" s="7" t="s">
        <v>52</v>
      </c>
      <c r="C133" s="7" t="s">
        <v>1126</v>
      </c>
      <c r="D133" s="7" t="s">
        <v>1127</v>
      </c>
      <c r="E133" s="7" t="s">
        <v>1128</v>
      </c>
      <c r="F133" s="7" t="s">
        <v>1129</v>
      </c>
      <c r="G133" s="7" t="s">
        <v>1130</v>
      </c>
      <c r="H133" s="7" t="s">
        <v>314</v>
      </c>
      <c r="I133" s="7" t="s">
        <v>22</v>
      </c>
      <c r="J133" s="7" t="s">
        <v>268</v>
      </c>
      <c r="K133" s="7" t="s">
        <v>249</v>
      </c>
      <c r="L133" s="7" t="s">
        <v>277</v>
      </c>
      <c r="M133" s="7" t="s">
        <v>70</v>
      </c>
      <c r="N133" s="7" t="s">
        <v>105</v>
      </c>
      <c r="O133" s="7" t="s">
        <v>1131</v>
      </c>
      <c r="P133" s="7" t="s">
        <v>314</v>
      </c>
      <c r="Q133" s="7" t="s">
        <v>314</v>
      </c>
      <c r="R133" s="7" t="s">
        <v>314</v>
      </c>
      <c r="S133" s="7" t="s">
        <v>314</v>
      </c>
    </row>
    <row r="134" ht="72" customHeight="1" spans="1:19" x14ac:dyDescent="0.25">
      <c r="A134" s="5" t="s">
        <v>1132</v>
      </c>
      <c r="B134" s="5" t="s">
        <v>52</v>
      </c>
      <c r="C134" s="5" t="s">
        <v>191</v>
      </c>
      <c r="D134" s="5" t="s">
        <v>1133</v>
      </c>
      <c r="E134" s="5" t="s">
        <v>1134</v>
      </c>
      <c r="F134" s="5" t="s">
        <v>1135</v>
      </c>
      <c r="G134" s="5" t="s">
        <v>1136</v>
      </c>
      <c r="H134" s="5" t="s">
        <v>314</v>
      </c>
      <c r="I134" s="5" t="s">
        <v>22</v>
      </c>
      <c r="J134" s="5" t="s">
        <v>268</v>
      </c>
      <c r="K134" s="5" t="s">
        <v>249</v>
      </c>
      <c r="L134" s="5" t="s">
        <v>277</v>
      </c>
      <c r="M134" s="5" t="s">
        <v>70</v>
      </c>
      <c r="N134" s="5" t="s">
        <v>105</v>
      </c>
      <c r="O134" s="5" t="s">
        <v>1137</v>
      </c>
      <c r="P134" s="5" t="s">
        <v>314</v>
      </c>
      <c r="Q134" s="5" t="s">
        <v>314</v>
      </c>
      <c r="R134" s="5" t="s">
        <v>314</v>
      </c>
      <c r="S134" s="5" t="s">
        <v>314</v>
      </c>
    </row>
    <row r="135" ht="72" customHeight="1" spans="1:19" x14ac:dyDescent="0.25">
      <c r="A135" s="7" t="s">
        <v>1138</v>
      </c>
      <c r="B135" s="7" t="s">
        <v>52</v>
      </c>
      <c r="C135" s="7" t="s">
        <v>235</v>
      </c>
      <c r="D135" s="7" t="s">
        <v>1139</v>
      </c>
      <c r="E135" s="7" t="s">
        <v>1140</v>
      </c>
      <c r="F135" s="7" t="s">
        <v>1141</v>
      </c>
      <c r="G135" s="7" t="s">
        <v>1142</v>
      </c>
      <c r="H135" s="7" t="s">
        <v>314</v>
      </c>
      <c r="I135" s="7" t="s">
        <v>22</v>
      </c>
      <c r="J135" s="7" t="s">
        <v>263</v>
      </c>
      <c r="K135" s="7" t="s">
        <v>249</v>
      </c>
      <c r="L135" s="7" t="s">
        <v>277</v>
      </c>
      <c r="M135" s="7" t="s">
        <v>70</v>
      </c>
      <c r="N135" s="7" t="s">
        <v>105</v>
      </c>
      <c r="O135" s="7" t="s">
        <v>1143</v>
      </c>
      <c r="P135" s="7" t="s">
        <v>314</v>
      </c>
      <c r="Q135" s="7" t="s">
        <v>314</v>
      </c>
      <c r="R135" s="7" t="s">
        <v>314</v>
      </c>
      <c r="S135" s="7" t="s">
        <v>314</v>
      </c>
    </row>
    <row r="136" ht="72" customHeight="1" spans="1:19" x14ac:dyDescent="0.25">
      <c r="A136" s="5" t="s">
        <v>1144</v>
      </c>
      <c r="B136" s="5" t="s">
        <v>52</v>
      </c>
      <c r="C136" s="5" t="s">
        <v>98</v>
      </c>
      <c r="D136" s="5" t="s">
        <v>1145</v>
      </c>
      <c r="E136" s="5" t="s">
        <v>1146</v>
      </c>
      <c r="F136" s="5" t="s">
        <v>1147</v>
      </c>
      <c r="G136" s="5" t="s">
        <v>1148</v>
      </c>
      <c r="H136" s="5" t="s">
        <v>314</v>
      </c>
      <c r="I136" s="5" t="s">
        <v>22</v>
      </c>
      <c r="J136" s="5" t="s">
        <v>272</v>
      </c>
      <c r="K136" s="5" t="s">
        <v>249</v>
      </c>
      <c r="L136" s="5" t="s">
        <v>277</v>
      </c>
      <c r="M136" s="5" t="s">
        <v>70</v>
      </c>
      <c r="N136" s="5" t="s">
        <v>105</v>
      </c>
      <c r="O136" s="5" t="s">
        <v>1149</v>
      </c>
      <c r="P136" s="5" t="s">
        <v>314</v>
      </c>
      <c r="Q136" s="5" t="s">
        <v>314</v>
      </c>
      <c r="R136" s="5" t="s">
        <v>314</v>
      </c>
      <c r="S136" s="5" t="s">
        <v>314</v>
      </c>
    </row>
    <row r="137" ht="72" customHeight="1" spans="1:19" x14ac:dyDescent="0.25">
      <c r="A137" s="7" t="s">
        <v>1150</v>
      </c>
      <c r="B137" s="7" t="s">
        <v>52</v>
      </c>
      <c r="C137" s="7" t="s">
        <v>1151</v>
      </c>
      <c r="D137" s="7" t="s">
        <v>1152</v>
      </c>
      <c r="E137" s="7" t="s">
        <v>1153</v>
      </c>
      <c r="F137" s="7" t="s">
        <v>1154</v>
      </c>
      <c r="G137" s="7" t="s">
        <v>1155</v>
      </c>
      <c r="H137" s="7" t="s">
        <v>314</v>
      </c>
      <c r="I137" s="7" t="s">
        <v>22</v>
      </c>
      <c r="J137" s="7" t="s">
        <v>268</v>
      </c>
      <c r="K137" s="7" t="s">
        <v>253</v>
      </c>
      <c r="L137" s="7" t="s">
        <v>277</v>
      </c>
      <c r="M137" s="7" t="s">
        <v>70</v>
      </c>
      <c r="N137" s="7" t="s">
        <v>105</v>
      </c>
      <c r="O137" s="7" t="s">
        <v>1156</v>
      </c>
      <c r="P137" s="7" t="s">
        <v>314</v>
      </c>
      <c r="Q137" s="7" t="s">
        <v>314</v>
      </c>
      <c r="R137" s="7" t="s">
        <v>314</v>
      </c>
      <c r="S137" s="7" t="s">
        <v>314</v>
      </c>
    </row>
    <row r="138" ht="72" customHeight="1" spans="1:19" x14ac:dyDescent="0.25">
      <c r="A138" s="5" t="s">
        <v>1157</v>
      </c>
      <c r="B138" s="5" t="s">
        <v>52</v>
      </c>
      <c r="C138" s="5" t="s">
        <v>1158</v>
      </c>
      <c r="D138" s="5" t="s">
        <v>1159</v>
      </c>
      <c r="E138" s="5" t="s">
        <v>1160</v>
      </c>
      <c r="F138" s="5" t="s">
        <v>1161</v>
      </c>
      <c r="G138" s="5" t="s">
        <v>1162</v>
      </c>
      <c r="H138" s="5" t="s">
        <v>314</v>
      </c>
      <c r="I138" s="5" t="s">
        <v>22</v>
      </c>
      <c r="J138" s="5" t="s">
        <v>272</v>
      </c>
      <c r="K138" s="5" t="s">
        <v>249</v>
      </c>
      <c r="L138" s="5" t="s">
        <v>277</v>
      </c>
      <c r="M138" s="5" t="s">
        <v>70</v>
      </c>
      <c r="N138" s="5" t="s">
        <v>105</v>
      </c>
      <c r="O138" s="5" t="s">
        <v>1163</v>
      </c>
      <c r="P138" s="5" t="s">
        <v>314</v>
      </c>
      <c r="Q138" s="5" t="s">
        <v>314</v>
      </c>
      <c r="R138" s="5" t="s">
        <v>314</v>
      </c>
      <c r="S138" s="5" t="s">
        <v>314</v>
      </c>
    </row>
    <row r="139" ht="22" customHeight="1" spans="1:7" x14ac:dyDescent="0.25">
      <c r="A139" s="27" t="s">
        <v>1164</v>
      </c>
      <c r="B139" s="27"/>
      <c r="C139" s="27"/>
      <c r="D139" s="27"/>
      <c r="E139" s="27"/>
      <c r="F139" s="27"/>
      <c r="G139" s="27"/>
    </row>
    <row r="140" ht="72" customHeight="1" spans="1:19" x14ac:dyDescent="0.25">
      <c r="A140" s="7" t="s">
        <v>1165</v>
      </c>
      <c r="B140" s="7" t="s">
        <v>55</v>
      </c>
      <c r="C140" s="7" t="s">
        <v>1166</v>
      </c>
      <c r="D140" s="7" t="s">
        <v>1167</v>
      </c>
      <c r="E140" s="7" t="s">
        <v>1168</v>
      </c>
      <c r="F140" s="7" t="s">
        <v>1169</v>
      </c>
      <c r="G140" s="7" t="s">
        <v>1170</v>
      </c>
      <c r="H140" s="7" t="s">
        <v>314</v>
      </c>
      <c r="I140" s="7" t="s">
        <v>22</v>
      </c>
      <c r="J140" s="7" t="s">
        <v>263</v>
      </c>
      <c r="K140" s="7" t="s">
        <v>249</v>
      </c>
      <c r="L140" s="7" t="s">
        <v>277</v>
      </c>
      <c r="M140" s="7" t="s">
        <v>70</v>
      </c>
      <c r="N140" s="7" t="s">
        <v>105</v>
      </c>
      <c r="O140" s="7" t="s">
        <v>1171</v>
      </c>
      <c r="P140" s="7" t="s">
        <v>314</v>
      </c>
      <c r="Q140" s="7" t="s">
        <v>314</v>
      </c>
      <c r="R140" s="7" t="s">
        <v>314</v>
      </c>
      <c r="S140" s="7" t="s">
        <v>314</v>
      </c>
    </row>
    <row r="141" ht="72" customHeight="1" spans="1:19" x14ac:dyDescent="0.25">
      <c r="A141" s="5" t="s">
        <v>1172</v>
      </c>
      <c r="B141" s="5" t="s">
        <v>55</v>
      </c>
      <c r="C141" s="5" t="s">
        <v>1173</v>
      </c>
      <c r="D141" s="5" t="s">
        <v>1174</v>
      </c>
      <c r="E141" s="5" t="s">
        <v>1175</v>
      </c>
      <c r="F141" s="5" t="s">
        <v>1176</v>
      </c>
      <c r="G141" s="5" t="s">
        <v>1177</v>
      </c>
      <c r="H141" s="5" t="s">
        <v>314</v>
      </c>
      <c r="I141" s="5" t="s">
        <v>22</v>
      </c>
      <c r="J141" s="5" t="s">
        <v>268</v>
      </c>
      <c r="K141" s="5" t="s">
        <v>249</v>
      </c>
      <c r="L141" s="5" t="s">
        <v>277</v>
      </c>
      <c r="M141" s="5" t="s">
        <v>70</v>
      </c>
      <c r="N141" s="5" t="s">
        <v>105</v>
      </c>
      <c r="O141" s="5" t="s">
        <v>1178</v>
      </c>
      <c r="P141" s="5" t="s">
        <v>314</v>
      </c>
      <c r="Q141" s="5" t="s">
        <v>314</v>
      </c>
      <c r="R141" s="5" t="s">
        <v>314</v>
      </c>
      <c r="S141" s="5" t="s">
        <v>314</v>
      </c>
    </row>
    <row r="142" ht="72" customHeight="1" spans="1:19" x14ac:dyDescent="0.25">
      <c r="A142" s="7" t="s">
        <v>1179</v>
      </c>
      <c r="B142" s="7" t="s">
        <v>55</v>
      </c>
      <c r="C142" s="7" t="s">
        <v>1180</v>
      </c>
      <c r="D142" s="7" t="s">
        <v>1181</v>
      </c>
      <c r="E142" s="7" t="s">
        <v>1182</v>
      </c>
      <c r="F142" s="7" t="s">
        <v>1183</v>
      </c>
      <c r="G142" s="7" t="s">
        <v>1184</v>
      </c>
      <c r="H142" s="7" t="s">
        <v>314</v>
      </c>
      <c r="I142" s="7" t="s">
        <v>22</v>
      </c>
      <c r="J142" s="7" t="s">
        <v>268</v>
      </c>
      <c r="K142" s="7" t="s">
        <v>249</v>
      </c>
      <c r="L142" s="7" t="s">
        <v>277</v>
      </c>
      <c r="M142" s="7" t="s">
        <v>70</v>
      </c>
      <c r="N142" s="7" t="s">
        <v>105</v>
      </c>
      <c r="O142" s="7" t="s">
        <v>1185</v>
      </c>
      <c r="P142" s="7" t="s">
        <v>314</v>
      </c>
      <c r="Q142" s="7" t="s">
        <v>314</v>
      </c>
      <c r="R142" s="7" t="s">
        <v>314</v>
      </c>
      <c r="S142" s="7" t="s">
        <v>314</v>
      </c>
    </row>
    <row r="143" ht="72" customHeight="1" spans="1:19" x14ac:dyDescent="0.25">
      <c r="A143" s="5" t="s">
        <v>1186</v>
      </c>
      <c r="B143" s="5" t="s">
        <v>55</v>
      </c>
      <c r="C143" s="5" t="s">
        <v>1187</v>
      </c>
      <c r="D143" s="5" t="s">
        <v>1188</v>
      </c>
      <c r="E143" s="5" t="s">
        <v>1189</v>
      </c>
      <c r="F143" s="5" t="s">
        <v>1190</v>
      </c>
      <c r="G143" s="5" t="s">
        <v>1191</v>
      </c>
      <c r="H143" s="5" t="s">
        <v>314</v>
      </c>
      <c r="I143" s="5" t="s">
        <v>22</v>
      </c>
      <c r="J143" s="5" t="s">
        <v>272</v>
      </c>
      <c r="K143" s="5" t="s">
        <v>145</v>
      </c>
      <c r="L143" s="5" t="s">
        <v>277</v>
      </c>
      <c r="M143" s="5" t="s">
        <v>70</v>
      </c>
      <c r="N143" s="5" t="s">
        <v>105</v>
      </c>
      <c r="O143" s="5" t="s">
        <v>1192</v>
      </c>
      <c r="P143" s="5" t="s">
        <v>314</v>
      </c>
      <c r="Q143" s="5" t="s">
        <v>314</v>
      </c>
      <c r="R143" s="5" t="s">
        <v>314</v>
      </c>
      <c r="S143" s="5" t="s">
        <v>314</v>
      </c>
    </row>
    <row r="144" ht="72" customHeight="1" spans="1:19" x14ac:dyDescent="0.25">
      <c r="A144" s="7" t="s">
        <v>1193</v>
      </c>
      <c r="B144" s="7" t="s">
        <v>1194</v>
      </c>
      <c r="C144" s="7" t="s">
        <v>1195</v>
      </c>
      <c r="D144" s="7" t="s">
        <v>1196</v>
      </c>
      <c r="E144" s="7" t="s">
        <v>1197</v>
      </c>
      <c r="F144" s="7" t="s">
        <v>1198</v>
      </c>
      <c r="G144" s="7" t="s">
        <v>1199</v>
      </c>
      <c r="H144" s="7" t="s">
        <v>314</v>
      </c>
      <c r="I144" s="7" t="s">
        <v>22</v>
      </c>
      <c r="J144" s="7" t="s">
        <v>263</v>
      </c>
      <c r="K144" s="7" t="s">
        <v>249</v>
      </c>
      <c r="L144" s="7" t="s">
        <v>277</v>
      </c>
      <c r="M144" s="7" t="s">
        <v>70</v>
      </c>
      <c r="N144" s="7" t="s">
        <v>105</v>
      </c>
      <c r="O144" s="7" t="s">
        <v>1200</v>
      </c>
      <c r="P144" s="7" t="s">
        <v>314</v>
      </c>
      <c r="Q144" s="7" t="s">
        <v>314</v>
      </c>
      <c r="R144" s="7" t="s">
        <v>314</v>
      </c>
      <c r="S144" s="7" t="s">
        <v>314</v>
      </c>
    </row>
  </sheetData>
  <autoFilter ref="A7:S144"/>
  <mergeCells count="21">
    <mergeCell ref="A1:S1"/>
    <mergeCell ref="A2:S2"/>
    <mergeCell ref="A3:S3"/>
    <mergeCell ref="A5:S5"/>
    <mergeCell ref="A8:G8"/>
    <mergeCell ref="A14:G14"/>
    <mergeCell ref="A24:G24"/>
    <mergeCell ref="A36:G36"/>
    <mergeCell ref="A43:G43"/>
    <mergeCell ref="A54:G54"/>
    <mergeCell ref="A63:G63"/>
    <mergeCell ref="A77:G77"/>
    <mergeCell ref="A81:G81"/>
    <mergeCell ref="A88:G88"/>
    <mergeCell ref="A95:G95"/>
    <mergeCell ref="A101:G101"/>
    <mergeCell ref="A110:G110"/>
    <mergeCell ref="A120:G120"/>
    <mergeCell ref="A125:G125"/>
    <mergeCell ref="A130:G130"/>
    <mergeCell ref="A139:G139"/>
  </mergeCells>
  <conditionalFormatting sqref="I8:I144">
    <cfRule type="containsText" dxfId="10" priority="1">
      <formula>NOT(ISERROR(SEARCH("Pass",I8)))</formula>
    </cfRule>
    <cfRule type="containsText" dxfId="11" priority="2">
      <formula>NOT(ISERROR(SEARCH("Fail",I8)))</formula>
    </cfRule>
    <cfRule type="containsText" dxfId="12" priority="3">
      <formula>NOT(ISERROR(SEARCH("Blocked",I8)))</formula>
    </cfRule>
    <cfRule type="containsText" dxfId="13" priority="4">
      <formula>NOT(ISERROR(SEARCH("Not Executed",I8)))</formula>
    </cfRule>
  </conditionalFormatting>
  <conditionalFormatting sqref="J8:J144">
    <cfRule type="containsText" dxfId="14" priority="5">
      <formula>NOT(ISERROR(SEARCH("Critical",J8)))</formula>
    </cfRule>
  </conditionalFormatting>
  <conditionalFormatting sqref="M8:M144">
    <cfRule type="containsText" dxfId="15" priority="6">
      <formula>NOT(ISERROR(SEARCH("Automated (API)",M8)))</formula>
    </cfRule>
    <cfRule type="containsText" dxfId="16" priority="7">
      <formula>NOT(ISERROR(SEARCH("Partial",M8)))</formula>
    </cfRule>
    <cfRule type="containsText" dxfId="17" priority="8">
      <formula>NOT(ISERROR(SEARCH("Gap (API)",M8)))</formula>
    </cfRule>
    <cfRule type="containsText" dxfId="18" priority="9">
      <formula>NOT(ISERROR(SEARCH("Gap (UI)",M8)))</formula>
    </cfRule>
  </conditionalFormatting>
  <conditionalFormatting sqref="R8:R144">
    <cfRule type="expression" dxfId="19" priority="10">
      <formula>AND($I8="Fail",$R8="")</formula>
    </cfRule>
  </conditionalFormatting>
  <dataValidations count="6">
    <dataValidation type="list" allowBlank="1" showErrorMessage="1" error="Pick a status from the list" sqref="I8:I144">
      <formula1>LISTS!$A$2:$A$6</formula1>
    </dataValidation>
    <dataValidation type="list" allowBlank="1" sqref="J8:J144">
      <formula1>LISTS!$B$2:$B$5</formula1>
    </dataValidation>
    <dataValidation type="list" allowBlank="1" sqref="K8:K144">
      <formula1>LISTS!$C$2:$C$5</formula1>
    </dataValidation>
    <dataValidation type="list" allowBlank="1" sqref="L8:L144">
      <formula1>LISTS!$E$2:$E$5</formula1>
    </dataValidation>
    <dataValidation type="list" allowBlank="1" sqref="M8:M144">
      <formula1>LISTS!$D$2:$D$5</formula1>
    </dataValidation>
    <dataValidation type="list" allowBlank="1" showErrorMessage="1" error="Pick a Defect ID from the DEFECTS sheet" sqref="R8:R144">
      <formula1>DEFECTS!$A$8:$A$37</formula1>
    </dataValidation>
  </dataValidations>
  <pageMargins left="0.7" right="0.7" top="0.75" bottom="0.75" header="0.3" footer="0.3"/>
  <pageSetup orientation="landscape"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workbookViewId="0" showGridLines="0"/>
  </sheetViews>
  <sheetFormatPr defaultRowHeight="15" outlineLevelRow="0" outlineLevelCol="0" x14ac:dyDescent="55"/>
  <cols>
    <col min="1" max="2" width="42" customWidth="1"/>
    <col min="3" max="3" width="48" customWidth="1"/>
    <col min="4" max="4" width="36" customWidth="1"/>
  </cols>
  <sheetData>
    <row r="1" ht="28" customHeight="1" spans="1:6" x14ac:dyDescent="0.25">
      <c r="A1" s="3" t="s">
        <v>1201</v>
      </c>
      <c r="B1" s="3"/>
      <c r="C1" s="3"/>
      <c r="D1" s="3"/>
      <c r="E1" s="3"/>
      <c r="F1" s="3"/>
    </row>
    <row r="3" spans="1:4" x14ac:dyDescent="0.25">
      <c r="A3" s="6" t="s">
        <v>40</v>
      </c>
      <c r="B3" s="6"/>
      <c r="C3" s="6"/>
      <c r="D3" s="6"/>
    </row>
    <row r="4" spans="1:4" x14ac:dyDescent="0.25">
      <c r="A4" s="3" t="s">
        <v>61</v>
      </c>
      <c r="B4" s="3" t="s">
        <v>3</v>
      </c>
      <c r="C4" s="3" t="s">
        <v>1202</v>
      </c>
      <c r="D4" s="3" t="s">
        <v>1203</v>
      </c>
    </row>
    <row r="5" spans="1:4" x14ac:dyDescent="0.25">
      <c r="A5" s="5" t="s">
        <v>1204</v>
      </c>
      <c r="B5" s="28">
        <v>126743</v>
      </c>
      <c r="C5" s="5" t="s">
        <v>1205</v>
      </c>
      <c r="D5" s="5" t="s">
        <v>1206</v>
      </c>
    </row>
    <row r="6" spans="1:4" x14ac:dyDescent="0.25">
      <c r="A6" s="5" t="s">
        <v>1207</v>
      </c>
      <c r="B6" s="28">
        <v>10</v>
      </c>
      <c r="C6" s="5" t="s">
        <v>592</v>
      </c>
      <c r="D6" s="5" t="s">
        <v>1208</v>
      </c>
    </row>
    <row r="7" spans="1:4" x14ac:dyDescent="0.25">
      <c r="A7" s="5" t="s">
        <v>1209</v>
      </c>
      <c r="B7" s="28">
        <v>12675</v>
      </c>
      <c r="C7" s="5" t="s">
        <v>1210</v>
      </c>
      <c r="D7" s="5" t="s">
        <v>1211</v>
      </c>
    </row>
    <row r="8" spans="1:4" x14ac:dyDescent="0.25">
      <c r="A8" s="5" t="s">
        <v>1212</v>
      </c>
      <c r="B8" s="5" t="s">
        <v>1213</v>
      </c>
      <c r="C8" s="5" t="s">
        <v>1214</v>
      </c>
      <c r="D8" s="5" t="s">
        <v>461</v>
      </c>
    </row>
    <row r="10" spans="1:4" x14ac:dyDescent="0.25">
      <c r="A10" s="8" t="s">
        <v>1215</v>
      </c>
      <c r="B10" s="29">
        <f>ROUNDUP(B5/B6,0)</f>
      </c>
      <c r="C10" s="8" t="s">
        <v>1216</v>
      </c>
      <c r="D10" s="8">
        <f>IF(B10=B7,"PASS","FAIL — pages "&amp;B10)</f>
      </c>
    </row>
    <row r="12" spans="1:4" x14ac:dyDescent="0.25">
      <c r="A12" s="6" t="s">
        <v>1217</v>
      </c>
      <c r="B12" s="6"/>
      <c r="C12" s="6"/>
      <c r="D12" s="6"/>
    </row>
    <row r="13" spans="1:4" x14ac:dyDescent="0.25">
      <c r="A13" s="3" t="s">
        <v>2</v>
      </c>
      <c r="B13" s="3" t="s">
        <v>3</v>
      </c>
      <c r="C13" s="3" t="s">
        <v>142</v>
      </c>
      <c r="D13" s="3" t="s">
        <v>1218</v>
      </c>
    </row>
    <row r="14" spans="1:4" x14ac:dyDescent="0.25">
      <c r="A14" s="5" t="s">
        <v>1219</v>
      </c>
      <c r="B14" s="5" t="s">
        <v>1220</v>
      </c>
      <c r="C14" s="5" t="s">
        <v>1221</v>
      </c>
      <c r="D14" s="5" t="s">
        <v>1222</v>
      </c>
    </row>
    <row r="15" spans="1:4" x14ac:dyDescent="0.25">
      <c r="A15" s="5" t="s">
        <v>1223</v>
      </c>
      <c r="B15" s="5" t="s">
        <v>1224</v>
      </c>
      <c r="C15" s="5" t="s">
        <v>1225</v>
      </c>
      <c r="D15" s="5" t="s">
        <v>1222</v>
      </c>
    </row>
    <row r="16" spans="1:4" x14ac:dyDescent="0.25">
      <c r="A16" s="5" t="s">
        <v>1226</v>
      </c>
      <c r="B16" s="5" t="s">
        <v>1227</v>
      </c>
      <c r="C16" s="5" t="s">
        <v>1228</v>
      </c>
      <c r="D16" s="5" t="s">
        <v>1229</v>
      </c>
    </row>
    <row r="17" spans="1:4" x14ac:dyDescent="0.25">
      <c r="A17" s="5" t="s">
        <v>1230</v>
      </c>
      <c r="B17" s="5" t="s">
        <v>224</v>
      </c>
      <c r="C17" s="5" t="s">
        <v>1231</v>
      </c>
      <c r="D17" s="5" t="s">
        <v>1222</v>
      </c>
    </row>
    <row r="18" spans="1:4" x14ac:dyDescent="0.25">
      <c r="A18" s="5" t="s">
        <v>132</v>
      </c>
      <c r="B18" s="5" t="s">
        <v>1232</v>
      </c>
      <c r="C18" s="5" t="s">
        <v>1225</v>
      </c>
      <c r="D18" s="5" t="s">
        <v>1233</v>
      </c>
    </row>
    <row r="19" spans="1:4" x14ac:dyDescent="0.25">
      <c r="A19" s="5" t="s">
        <v>1234</v>
      </c>
      <c r="B19" s="5" t="s">
        <v>1235</v>
      </c>
      <c r="C19" s="5" t="s">
        <v>1236</v>
      </c>
      <c r="D19" s="5" t="s">
        <v>1237</v>
      </c>
    </row>
    <row r="22" spans="1:4" x14ac:dyDescent="0.25">
      <c r="A22" s="6" t="s">
        <v>1238</v>
      </c>
      <c r="B22" s="6"/>
      <c r="C22" s="6"/>
      <c r="D22" s="6"/>
    </row>
    <row r="23" spans="1:4" x14ac:dyDescent="0.25">
      <c r="A23" s="3" t="s">
        <v>1239</v>
      </c>
      <c r="B23" s="3" t="s">
        <v>3</v>
      </c>
      <c r="C23" s="3" t="s">
        <v>1240</v>
      </c>
      <c r="D23" s="3" t="s">
        <v>38</v>
      </c>
    </row>
    <row r="24" spans="1:4" x14ac:dyDescent="0.25">
      <c r="A24" s="5" t="s">
        <v>1241</v>
      </c>
      <c r="B24" s="5" t="s">
        <v>1242</v>
      </c>
      <c r="C24" s="5" t="s">
        <v>188</v>
      </c>
      <c r="D24" s="5" t="s">
        <v>1243</v>
      </c>
    </row>
    <row r="25" spans="1:4" x14ac:dyDescent="0.25">
      <c r="A25" s="5" t="s">
        <v>1244</v>
      </c>
      <c r="B25" s="5" t="s">
        <v>1245</v>
      </c>
      <c r="C25" s="5" t="s">
        <v>188</v>
      </c>
      <c r="D25" s="5" t="s">
        <v>1243</v>
      </c>
    </row>
    <row r="26" spans="1:4" x14ac:dyDescent="0.25">
      <c r="A26" s="5" t="s">
        <v>1246</v>
      </c>
      <c r="B26" s="5" t="s">
        <v>1247</v>
      </c>
      <c r="C26" s="5" t="s">
        <v>188</v>
      </c>
      <c r="D26" s="5" t="s">
        <v>1243</v>
      </c>
    </row>
    <row r="27" spans="1:4" x14ac:dyDescent="0.25">
      <c r="A27" s="5" t="s">
        <v>1248</v>
      </c>
      <c r="B27" s="5">
        <v>-0.97</v>
      </c>
      <c r="C27" s="5" t="s">
        <v>188</v>
      </c>
      <c r="D27" s="5" t="s">
        <v>1249</v>
      </c>
    </row>
    <row r="28" spans="1:4" x14ac:dyDescent="0.25">
      <c r="A28" s="5" t="s">
        <v>1250</v>
      </c>
      <c r="B28" s="5" t="s">
        <v>1251</v>
      </c>
      <c r="C28" s="5" t="s">
        <v>188</v>
      </c>
      <c r="D28" s="5" t="s">
        <v>1243</v>
      </c>
    </row>
    <row r="29" spans="1:4" x14ac:dyDescent="0.25">
      <c r="A29" s="5" t="s">
        <v>1252</v>
      </c>
      <c r="B29" s="5">
        <v>3</v>
      </c>
      <c r="C29" s="5" t="s">
        <v>1253</v>
      </c>
      <c r="D29" s="5" t="s">
        <v>1254</v>
      </c>
    </row>
    <row r="30" spans="1:4" x14ac:dyDescent="0.25">
      <c r="A30" s="5" t="s">
        <v>1255</v>
      </c>
      <c r="B30" s="5">
        <v>2</v>
      </c>
      <c r="C30" s="5" t="s">
        <v>1253</v>
      </c>
      <c r="D30" s="5" t="s">
        <v>1254</v>
      </c>
    </row>
    <row r="31" spans="1:4" x14ac:dyDescent="0.25">
      <c r="A31" s="5" t="s">
        <v>1256</v>
      </c>
      <c r="B31" s="5" t="s">
        <v>1257</v>
      </c>
      <c r="C31" s="5" t="s">
        <v>188</v>
      </c>
      <c r="D31" s="5" t="s">
        <v>1258</v>
      </c>
    </row>
    <row r="32" spans="1:4" x14ac:dyDescent="0.25">
      <c r="A32" s="5" t="s">
        <v>1259</v>
      </c>
      <c r="B32" s="5" t="s">
        <v>1260</v>
      </c>
      <c r="C32" s="5" t="s">
        <v>1261</v>
      </c>
      <c r="D32" s="5" t="s">
        <v>1262</v>
      </c>
    </row>
    <row r="33" spans="1:4" x14ac:dyDescent="0.25">
      <c r="A33" s="5" t="s">
        <v>1263</v>
      </c>
      <c r="B33" s="5" t="s">
        <v>1264</v>
      </c>
      <c r="C33" s="5" t="s">
        <v>1265</v>
      </c>
      <c r="D33" s="5" t="s">
        <v>1262</v>
      </c>
    </row>
    <row r="34" spans="1:4" x14ac:dyDescent="0.25">
      <c r="A34" s="5" t="s">
        <v>1266</v>
      </c>
      <c r="B34" s="5" t="s">
        <v>1267</v>
      </c>
      <c r="C34" s="5" t="s">
        <v>1268</v>
      </c>
      <c r="D34" s="5" t="s">
        <v>1269</v>
      </c>
    </row>
    <row r="35" spans="1:4" x14ac:dyDescent="0.25">
      <c r="A35" s="5" t="s">
        <v>1270</v>
      </c>
      <c r="B35" s="5" t="s">
        <v>1271</v>
      </c>
      <c r="C35" s="5" t="s">
        <v>1272</v>
      </c>
      <c r="D35" s="5" t="s">
        <v>1273</v>
      </c>
    </row>
    <row r="37" spans="1:4" x14ac:dyDescent="0.25">
      <c r="A37" s="8" t="s">
        <v>1274</v>
      </c>
      <c r="B37" s="8">
        <f>B29+B30</f>
      </c>
      <c r="C37" s="8" t="s">
        <v>1275</v>
      </c>
      <c r="D37" s="8">
        <f>IF(B37=B44,"PASS","CHECK window — snapshot events=5")</f>
      </c>
    </row>
    <row r="39" spans="1:4" x14ac:dyDescent="0.25">
      <c r="A39" s="6" t="s">
        <v>1276</v>
      </c>
      <c r="B39" s="6"/>
      <c r="C39" s="6"/>
      <c r="D39" s="6"/>
    </row>
    <row r="40" spans="1:4" x14ac:dyDescent="0.25">
      <c r="A40" s="3" t="s">
        <v>61</v>
      </c>
      <c r="B40" s="3" t="s">
        <v>3</v>
      </c>
      <c r="C40" s="3" t="s">
        <v>1202</v>
      </c>
      <c r="D40" s="3" t="s">
        <v>1203</v>
      </c>
    </row>
    <row r="41" spans="1:4" x14ac:dyDescent="0.25">
      <c r="A41" s="5" t="s">
        <v>1277</v>
      </c>
      <c r="B41" s="5" t="s">
        <v>1278</v>
      </c>
      <c r="C41" s="5" t="s">
        <v>1279</v>
      </c>
      <c r="D41" s="5" t="s">
        <v>1280</v>
      </c>
    </row>
    <row r="42" spans="1:4" x14ac:dyDescent="0.25">
      <c r="A42" s="5" t="s">
        <v>917</v>
      </c>
      <c r="B42" s="5" t="s">
        <v>1281</v>
      </c>
      <c r="C42" s="5" t="s">
        <v>1282</v>
      </c>
      <c r="D42" s="5" t="s">
        <v>1283</v>
      </c>
    </row>
    <row r="43" spans="1:4" x14ac:dyDescent="0.25">
      <c r="A43" s="5" t="s">
        <v>1284</v>
      </c>
      <c r="B43" s="5">
        <v>0.08</v>
      </c>
      <c r="C43" s="5" t="s">
        <v>1285</v>
      </c>
      <c r="D43" s="5" t="s">
        <v>1286</v>
      </c>
    </row>
    <row r="44" spans="1:4" x14ac:dyDescent="0.25">
      <c r="A44" s="5" t="s">
        <v>1287</v>
      </c>
      <c r="B44" s="5">
        <v>5</v>
      </c>
      <c r="C44" s="5" t="s">
        <v>1288</v>
      </c>
      <c r="D44" s="5" t="s">
        <v>1289</v>
      </c>
    </row>
    <row r="45" spans="1:4" x14ac:dyDescent="0.25">
      <c r="A45" s="13" t="s">
        <v>1290</v>
      </c>
      <c r="B45" s="13" t="s">
        <v>1291</v>
      </c>
      <c r="C45" s="13" t="s">
        <v>1292</v>
      </c>
      <c r="D45" s="13" t="s">
        <v>1293</v>
      </c>
    </row>
    <row r="46" spans="1:4" x14ac:dyDescent="0.25">
      <c r="A46" s="13" t="s">
        <v>1294</v>
      </c>
      <c r="B46" s="13" t="s">
        <v>1295</v>
      </c>
      <c r="C46" s="13" t="s">
        <v>1296</v>
      </c>
      <c r="D46" s="13" t="s">
        <v>304</v>
      </c>
    </row>
    <row r="48" spans="1:4" x14ac:dyDescent="0.25">
      <c r="A48" s="8" t="s">
        <v>1297</v>
      </c>
      <c r="B48" s="8">
        <v>0.08</v>
      </c>
      <c r="C48" s="8" t="s">
        <v>1298</v>
      </c>
      <c r="D48" s="8">
        <f>IF(ABS(B48-B43)&lt;0.0001,"PASS","FAIL")</f>
      </c>
    </row>
    <row r="50" spans="1:4" x14ac:dyDescent="0.25">
      <c r="A50" s="6" t="s">
        <v>1299</v>
      </c>
      <c r="B50" s="6"/>
      <c r="C50" s="6"/>
      <c r="D50" s="6"/>
    </row>
    <row r="51" spans="1:4" x14ac:dyDescent="0.25">
      <c r="A51" s="3" t="s">
        <v>1300</v>
      </c>
      <c r="B51" s="3" t="s">
        <v>3</v>
      </c>
      <c r="C51" s="3" t="s">
        <v>1301</v>
      </c>
      <c r="D51" s="3" t="s">
        <v>1302</v>
      </c>
    </row>
    <row r="52" spans="1:4" x14ac:dyDescent="0.25">
      <c r="A52" s="5" t="s">
        <v>1303</v>
      </c>
      <c r="B52" s="5" t="s">
        <v>1304</v>
      </c>
      <c r="C52" s="5" t="s">
        <v>1305</v>
      </c>
      <c r="D52" s="5" t="s">
        <v>1306</v>
      </c>
    </row>
    <row r="53" spans="1:4" x14ac:dyDescent="0.25">
      <c r="A53" s="5" t="s">
        <v>1307</v>
      </c>
      <c r="B53" s="5" t="s">
        <v>1308</v>
      </c>
      <c r="C53" s="5" t="s">
        <v>772</v>
      </c>
      <c r="D53" s="5" t="s">
        <v>1309</v>
      </c>
    </row>
    <row r="54" spans="1:4" x14ac:dyDescent="0.25">
      <c r="A54" s="5" t="s">
        <v>1310</v>
      </c>
      <c r="B54" s="5" t="s">
        <v>1311</v>
      </c>
      <c r="C54" s="5" t="s">
        <v>1312</v>
      </c>
      <c r="D54" s="5" t="s">
        <v>1313</v>
      </c>
    </row>
    <row r="55" spans="1:4" x14ac:dyDescent="0.25">
      <c r="A55" s="5" t="s">
        <v>1314</v>
      </c>
      <c r="B55" s="5" t="s">
        <v>1315</v>
      </c>
      <c r="C55" s="5" t="s">
        <v>1316</v>
      </c>
      <c r="D55" s="5" t="s">
        <v>1317</v>
      </c>
    </row>
    <row r="56" spans="1:4" x14ac:dyDescent="0.25">
      <c r="A56" s="5" t="s">
        <v>1318</v>
      </c>
      <c r="B56" s="5" t="s">
        <v>1319</v>
      </c>
      <c r="C56" s="5" t="s">
        <v>1320</v>
      </c>
      <c r="D56" s="5" t="s">
        <v>1321</v>
      </c>
    </row>
  </sheetData>
  <mergeCells count="6">
    <mergeCell ref="A1:F1"/>
    <mergeCell ref="A3:D3"/>
    <mergeCell ref="A12:D12"/>
    <mergeCell ref="A22:D22"/>
    <mergeCell ref="A39:D39"/>
    <mergeCell ref="A50:D5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AUTOMATION-SCOPE</vt:lpstr>
      <vt:lpstr>COVERAGE-MATRIX</vt:lpstr>
      <vt:lpstr>LISTS</vt:lpstr>
      <vt:lpstr>DEFECTS</vt:lpstr>
      <vt:lpstr>TEST-CASES</vt:lpstr>
      <vt:lpstr>SNAPSHOT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Indoore QA</dc:creator>
  <dc:title>Consumer Master Data Manual Test Pack</dc:title>
  <dc:subject/>
  <dc:description/>
  <cp:keywords/>
  <cp:category/>
  <cp:lastModifiedBy>Unknown</cp:lastModifiedBy>
  <dcterms:created xsi:type="dcterms:W3CDTF">2026-09-09T05:11:35Z</dcterms:created>
  <dcterms:modified xsi:type="dcterms:W3CDTF">2026-09-09T05:11:35Z</dcterms:modified>
</cp:coreProperties>
</file>